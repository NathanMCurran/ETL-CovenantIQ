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14"/>
  <workbookPr/>
  <mc:AlternateContent xmlns:mc="http://schemas.openxmlformats.org/markup-compatibility/2006">
    <mc:Choice Requires="x15">
      <x15ac:absPath xmlns:x15ac="http://schemas.microsoft.com/office/spreadsheetml/2010/11/ac" url="/Users/nathanm/Documents/ETL/ETL-CovenantIQ/"/>
    </mc:Choice>
  </mc:AlternateContent>
  <xr:revisionPtr revIDLastSave="0" documentId="13_ncr:1_{E789BF7D-B19C-9244-A8A5-35276E60CF64}" xr6:coauthVersionLast="47" xr6:coauthVersionMax="47" xr10:uidLastSave="{00000000-0000-0000-0000-000000000000}"/>
  <bookViews>
    <workbookView xWindow="0" yWindow="760" windowWidth="30240" windowHeight="17880" xr2:uid="{00000000-000D-0000-FFFF-FFFF00000000}"/>
  </bookViews>
  <sheets>
    <sheet name="Balance Sheet" sheetId="1" r:id="rId1"/>
  </sheet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5" i="1" l="1" a="1"/>
  <c r="C15" i="1" s="1"/>
  <c r="P30" i="1" l="1"/>
  <c r="O30" i="1"/>
  <c r="N30" i="1"/>
  <c r="M30" i="1"/>
  <c r="L30" i="1"/>
  <c r="K30" i="1"/>
  <c r="J30" i="1"/>
  <c r="I30" i="1"/>
  <c r="H30" i="1"/>
  <c r="G30" i="1"/>
  <c r="F30" i="1"/>
  <c r="E30" i="1"/>
  <c r="D30" i="1"/>
  <c r="E26" i="1"/>
  <c r="E31" i="1" s="1"/>
  <c r="P25" i="1"/>
  <c r="P26" i="1" s="1"/>
  <c r="P31" i="1" s="1"/>
  <c r="O25" i="1"/>
  <c r="O26" i="1" s="1"/>
  <c r="O31" i="1" s="1"/>
  <c r="N25" i="1"/>
  <c r="N26" i="1" s="1"/>
  <c r="N31" i="1" s="1"/>
  <c r="M25" i="1"/>
  <c r="M26" i="1" s="1"/>
  <c r="M31" i="1" s="1"/>
  <c r="L25" i="1"/>
  <c r="L26" i="1" s="1"/>
  <c r="K25" i="1"/>
  <c r="K26" i="1" s="1"/>
  <c r="K31" i="1" s="1"/>
  <c r="J25" i="1"/>
  <c r="J26" i="1" s="1"/>
  <c r="I25" i="1"/>
  <c r="I26" i="1" s="1"/>
  <c r="H25" i="1"/>
  <c r="H26" i="1" s="1"/>
  <c r="H31" i="1" s="1"/>
  <c r="G25" i="1"/>
  <c r="G26" i="1" s="1"/>
  <c r="F25" i="1"/>
  <c r="F26" i="1" s="1"/>
  <c r="F31" i="1" s="1"/>
  <c r="E25" i="1"/>
  <c r="D25" i="1"/>
  <c r="D26" i="1" s="1"/>
  <c r="D31" i="1" s="1"/>
  <c r="P16" i="1"/>
  <c r="O16" i="1"/>
  <c r="N16" i="1"/>
  <c r="M16" i="1"/>
  <c r="L16" i="1"/>
  <c r="K16" i="1"/>
  <c r="J16" i="1"/>
  <c r="I16" i="1"/>
  <c r="H16" i="1"/>
  <c r="G16" i="1"/>
  <c r="F16" i="1"/>
  <c r="E16" i="1"/>
  <c r="E17" i="1" s="1"/>
  <c r="D16" i="1"/>
  <c r="P11" i="1"/>
  <c r="P13" i="1" s="1"/>
  <c r="O11" i="1"/>
  <c r="O13" i="1" s="1"/>
  <c r="N11" i="1"/>
  <c r="N13" i="1" s="1"/>
  <c r="M11" i="1"/>
  <c r="M13" i="1" s="1"/>
  <c r="L11" i="1"/>
  <c r="L13" i="1" s="1"/>
  <c r="K11" i="1"/>
  <c r="K13" i="1" s="1"/>
  <c r="J11" i="1"/>
  <c r="J13" i="1" s="1"/>
  <c r="I11" i="1"/>
  <c r="I13" i="1" s="1"/>
  <c r="H11" i="1"/>
  <c r="H13" i="1" s="1"/>
  <c r="H17" i="1" s="1"/>
  <c r="G11" i="1"/>
  <c r="G13" i="1" s="1"/>
  <c r="G17" i="1" s="1"/>
  <c r="F11" i="1"/>
  <c r="F13" i="1" s="1"/>
  <c r="E11" i="1"/>
  <c r="E13" i="1" s="1"/>
  <c r="D11" i="1"/>
  <c r="D13" i="1" s="1"/>
  <c r="G31" i="1" l="1"/>
  <c r="J31" i="1"/>
  <c r="L31" i="1"/>
  <c r="I17" i="1"/>
  <c r="P17" i="1"/>
  <c r="J17" i="1"/>
  <c r="K17" i="1"/>
  <c r="O17" i="1"/>
  <c r="I31" i="1"/>
  <c r="D17" i="1"/>
  <c r="L17" i="1"/>
  <c r="M17" i="1"/>
  <c r="F17" i="1"/>
  <c r="N17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<sst xmlns="http://schemas.openxmlformats.org/spreadsheetml/2006/main" count="40" uniqueCount="40">
  <si>
    <t>Balance Sheet</t>
  </si>
  <si>
    <t>Demo Company (US)</t>
  </si>
  <si>
    <t>As of December 31, 2025</t>
  </si>
  <si>
    <t>Account</t>
  </si>
  <si>
    <t>Dec 31, 2025</t>
  </si>
  <si>
    <t>Nov 30, 2025</t>
  </si>
  <si>
    <t>Oct 31, 2025</t>
  </si>
  <si>
    <t>Sep 30, 2025</t>
  </si>
  <si>
    <t>Aug 31, 2025</t>
  </si>
  <si>
    <t>Jul 31, 2025</t>
  </si>
  <si>
    <t>Jun 30, 2025</t>
  </si>
  <si>
    <t>May 31, 2025</t>
  </si>
  <si>
    <t>Apr 30, 2025</t>
  </si>
  <si>
    <t>Mar 31, 2025</t>
  </si>
  <si>
    <t>Feb 28, 2025</t>
  </si>
  <si>
    <t>Jan 31, 2025</t>
  </si>
  <si>
    <t>Dec 31, 2024</t>
  </si>
  <si>
    <t>Assets</t>
  </si>
  <si>
    <t>Current Assets</t>
  </si>
  <si>
    <t>Cash and Cash Equivalents</t>
  </si>
  <si>
    <t>090 - Checking Account</t>
  </si>
  <si>
    <t>Total Cash and Cash Equivalents</t>
  </si>
  <si>
    <t>120 - Accounts Receivable</t>
  </si>
  <si>
    <t>Total Current Assets</t>
  </si>
  <si>
    <t>Fixed Assets</t>
  </si>
  <si>
    <t>Total Fixed Assets</t>
  </si>
  <si>
    <t>Total Assets</t>
  </si>
  <si>
    <t>Liabilities and Equity</t>
  </si>
  <si>
    <t>Liabilities</t>
  </si>
  <si>
    <t>Current Liabilities</t>
  </si>
  <si>
    <t>200 - Accounts Payable</t>
  </si>
  <si>
    <t>220 - Sales Tax</t>
  </si>
  <si>
    <t>255 - Historical Adjustment</t>
  </si>
  <si>
    <t>Total Current Liabilities</t>
  </si>
  <si>
    <t>Total Liabilities</t>
  </si>
  <si>
    <t>Equity</t>
  </si>
  <si>
    <t>320 - Retained Earnings</t>
  </si>
  <si>
    <t>Current Year Earnings</t>
  </si>
  <si>
    <t>Total Equity</t>
  </si>
  <si>
    <t>Total Liabilities and Equity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</si>
</sst>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;\(#,##0.00\)"/>
  </numFmts>
  <fonts count="8" x14ac:knownFonts="1">
    <font>
      <sz val="9"/>
      <color theme="1"/>
      <name val="Arial"/>
    </font>
    <font>
      <sz val="14"/>
      <color theme="1"/>
      <name val="Arial"/>
      <family val="2"/>
    </font>
    <font>
      <b/>
      <sz val="14"/>
      <color theme="1"/>
      <name val="Arial"/>
      <family val="2"/>
    </font>
    <font>
      <sz val="12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EBEBEB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/>
    </xf>
    <xf numFmtId="0" fontId="3" fillId="0" borderId="0" xfId="0" applyFont="1"/>
    <xf numFmtId="0" fontId="3" fillId="0" borderId="0" xfId="0" applyFont="1" applyAlignment="1">
      <alignment vertical="center"/>
    </xf>
    <xf numFmtId="0" fontId="4" fillId="0" borderId="0" xfId="0" applyFont="1"/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right" vertical="center"/>
    </xf>
    <xf numFmtId="0" fontId="6" fillId="0" borderId="0" xfId="0" applyFont="1" applyAlignment="1">
      <alignment vertical="center"/>
    </xf>
    <xf numFmtId="0" fontId="0" fillId="0" borderId="2" xfId="0" applyBorder="1" applyAlignment="1">
      <alignment vertical="center"/>
    </xf>
    <xf numFmtId="164" fontId="0" fillId="0" borderId="2" xfId="0" applyNumberFormat="1" applyBorder="1" applyAlignment="1">
      <alignment horizontal="right" vertical="center"/>
    </xf>
    <xf numFmtId="0" fontId="6" fillId="0" borderId="2" xfId="0" applyFont="1" applyBorder="1" applyAlignment="1">
      <alignment vertical="center"/>
    </xf>
    <xf numFmtId="164" fontId="6" fillId="0" borderId="2" xfId="0" applyNumberFormat="1" applyFont="1" applyBorder="1" applyAlignment="1">
      <alignment horizontal="right" vertical="center"/>
    </xf>
    <xf numFmtId="0" fontId="7" fillId="0" borderId="2" xfId="0" applyFont="1" applyBorder="1" applyAlignment="1">
      <alignment vertical="center"/>
    </xf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1"/>
  <sheetViews>
    <sheetView showGridLines="0" tabSelected="1" topLeftCell="A3" zoomScale="150" zoomScaleNormal="150" workbookViewId="0">
      <selection activeCell="C15" sqref="C15"/>
    </sheetView>
  </sheetViews>
  <sheetFormatPr baseColWidth="10" defaultColWidth="9" defaultRowHeight="12" x14ac:dyDescent="0.15"/>
  <cols>
    <col min="1" max="2" width="1.3984375" customWidth="1"/>
    <col min="3" max="3" width="32.59765625" customWidth="1"/>
    <col min="4" max="4" width="14.3984375" customWidth="1"/>
    <col min="5" max="5" width="14.59765625" customWidth="1"/>
    <col min="6" max="7" width="14.3984375" customWidth="1"/>
    <col min="8" max="8" width="14.796875" customWidth="1"/>
    <col min="9" max="9" width="13.796875" customWidth="1"/>
    <col min="10" max="10" width="14.3984375" customWidth="1"/>
    <col min="11" max="11" width="15.19921875" customWidth="1"/>
    <col min="12" max="12" width="14.59765625" customWidth="1"/>
    <col min="13" max="13" width="15" customWidth="1"/>
    <col min="14" max="16" width="14.3984375" customWidth="1"/>
  </cols>
  <sheetData>
    <row r="1" spans="1:16" s="1" customFormat="1" ht="16.75" customHeight="1" x14ac:dyDescent="0.2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spans="1:16" s="3" customFormat="1" ht="14.5" customHeight="1" x14ac:dyDescent="0.2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</row>
    <row r="3" spans="1:16" s="3" customFormat="1" ht="14.5" customHeight="1" x14ac:dyDescent="0.2">
      <c r="A3" s="4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</row>
    <row r="4" spans="1:16" ht="13.25" customHeight="1" x14ac:dyDescent="0.15"/>
    <row r="5" spans="1:16" s="5" customFormat="1" ht="12" customHeight="1" x14ac:dyDescent="0.15">
      <c r="A5" s="6"/>
      <c r="B5" s="6"/>
      <c r="C5" s="7" t="s">
        <v>3</v>
      </c>
      <c r="D5" s="8" t="s">
        <v>4</v>
      </c>
      <c r="E5" s="8" t="s">
        <v>5</v>
      </c>
      <c r="F5" s="8" t="s">
        <v>6</v>
      </c>
      <c r="G5" s="8" t="s">
        <v>7</v>
      </c>
      <c r="H5" s="8" t="s">
        <v>8</v>
      </c>
      <c r="I5" s="8" t="s">
        <v>9</v>
      </c>
      <c r="J5" s="8" t="s">
        <v>10</v>
      </c>
      <c r="K5" s="8" t="s">
        <v>11</v>
      </c>
      <c r="L5" s="8" t="s">
        <v>12</v>
      </c>
      <c r="M5" s="8" t="s">
        <v>13</v>
      </c>
      <c r="N5" s="8" t="s">
        <v>14</v>
      </c>
      <c r="O5" s="8" t="s">
        <v>15</v>
      </c>
      <c r="P5" s="8" t="s">
        <v>16</v>
      </c>
    </row>
    <row r="6" spans="1:16" ht="13.25" customHeight="1" x14ac:dyDescent="0.15"/>
    <row r="7" spans="1:16" s="5" customFormat="1" ht="12" customHeight="1" x14ac:dyDescent="0.15">
      <c r="A7" s="6" t="s">
        <v>17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</row>
    <row r="8" spans="1:16" ht="11" customHeight="1" x14ac:dyDescent="0.15">
      <c r="A8" s="9"/>
      <c r="B8" s="9" t="s">
        <v>18</v>
      </c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</row>
    <row r="9" spans="1:16" ht="11" customHeight="1" x14ac:dyDescent="0.15">
      <c r="A9" s="9"/>
      <c r="B9" s="9"/>
      <c r="C9" s="9" t="s">
        <v>19</v>
      </c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</row>
    <row r="10" spans="1:16" ht="11" customHeight="1" x14ac:dyDescent="0.15">
      <c r="C10" s="14" t="s">
        <v>20</v>
      </c>
      <c r="D10" s="11">
        <v>10365.879999999999</v>
      </c>
      <c r="E10" s="11">
        <v>10333.719999999999</v>
      </c>
      <c r="F10" s="11">
        <v>10330.67</v>
      </c>
      <c r="G10" s="11">
        <v>9973.8799999999992</v>
      </c>
      <c r="H10" s="11">
        <v>8879.6299999999992</v>
      </c>
      <c r="I10" s="11">
        <v>8480.23</v>
      </c>
      <c r="J10" s="11">
        <v>7076.48</v>
      </c>
      <c r="K10" s="11">
        <v>6667.48</v>
      </c>
      <c r="L10" s="11">
        <v>6256.48</v>
      </c>
      <c r="M10" s="11">
        <v>5348.48</v>
      </c>
      <c r="N10" s="11">
        <v>4945.4799999999996</v>
      </c>
      <c r="O10" s="11">
        <v>4540.9799999999996</v>
      </c>
      <c r="P10" s="11">
        <v>4130.9799999999996</v>
      </c>
    </row>
    <row r="11" spans="1:16" ht="11" customHeight="1" x14ac:dyDescent="0.15">
      <c r="C11" s="12" t="s">
        <v>21</v>
      </c>
      <c r="D11" s="13">
        <f t="shared" ref="D11:P11" si="0">D10</f>
        <v>10365.879999999999</v>
      </c>
      <c r="E11" s="13">
        <f t="shared" si="0"/>
        <v>10333.719999999999</v>
      </c>
      <c r="F11" s="13">
        <f t="shared" si="0"/>
        <v>10330.67</v>
      </c>
      <c r="G11" s="13">
        <f t="shared" si="0"/>
        <v>9973.8799999999992</v>
      </c>
      <c r="H11" s="13">
        <f t="shared" si="0"/>
        <v>8879.6299999999992</v>
      </c>
      <c r="I11" s="13">
        <f t="shared" si="0"/>
        <v>8480.23</v>
      </c>
      <c r="J11" s="13">
        <f t="shared" si="0"/>
        <v>7076.48</v>
      </c>
      <c r="K11" s="13">
        <f t="shared" si="0"/>
        <v>6667.48</v>
      </c>
      <c r="L11" s="13">
        <f t="shared" si="0"/>
        <v>6256.48</v>
      </c>
      <c r="M11" s="13">
        <f t="shared" si="0"/>
        <v>5348.48</v>
      </c>
      <c r="N11" s="13">
        <f t="shared" si="0"/>
        <v>4945.4799999999996</v>
      </c>
      <c r="O11" s="13">
        <f t="shared" si="0"/>
        <v>4540.9799999999996</v>
      </c>
      <c r="P11" s="13">
        <f t="shared" si="0"/>
        <v>4130.9799999999996</v>
      </c>
    </row>
    <row r="12" spans="1:16" ht="11" customHeight="1" x14ac:dyDescent="0.15">
      <c r="C12" s="14" t="s">
        <v>22</v>
      </c>
      <c r="D12" s="11">
        <v>3467.78</v>
      </c>
      <c r="E12" s="11">
        <v>829.8</v>
      </c>
      <c r="F12" s="11">
        <v>4915</v>
      </c>
      <c r="G12" s="11">
        <v>500</v>
      </c>
      <c r="H12" s="11">
        <v>1200</v>
      </c>
      <c r="I12" s="11">
        <v>500</v>
      </c>
      <c r="J12" s="11">
        <v>1500</v>
      </c>
      <c r="K12" s="11">
        <v>0</v>
      </c>
      <c r="L12" s="11">
        <v>0</v>
      </c>
      <c r="M12" s="11">
        <v>0</v>
      </c>
      <c r="N12" s="11">
        <v>0</v>
      </c>
      <c r="O12" s="11">
        <v>500</v>
      </c>
      <c r="P12" s="11">
        <v>500</v>
      </c>
    </row>
    <row r="13" spans="1:16" ht="11" customHeight="1" x14ac:dyDescent="0.15">
      <c r="B13" s="12" t="s">
        <v>23</v>
      </c>
      <c r="D13" s="13">
        <f t="shared" ref="D13:P13" si="1">(D12 + D11)</f>
        <v>13833.66</v>
      </c>
      <c r="E13" s="13">
        <f t="shared" si="1"/>
        <v>11163.519999999999</v>
      </c>
      <c r="F13" s="13">
        <f t="shared" si="1"/>
        <v>15245.67</v>
      </c>
      <c r="G13" s="13">
        <f t="shared" si="1"/>
        <v>10473.879999999999</v>
      </c>
      <c r="H13" s="13">
        <f t="shared" si="1"/>
        <v>10079.629999999999</v>
      </c>
      <c r="I13" s="13">
        <f t="shared" si="1"/>
        <v>8980.23</v>
      </c>
      <c r="J13" s="13">
        <f t="shared" si="1"/>
        <v>8576.48</v>
      </c>
      <c r="K13" s="13">
        <f t="shared" si="1"/>
        <v>6667.48</v>
      </c>
      <c r="L13" s="13">
        <f t="shared" si="1"/>
        <v>6256.48</v>
      </c>
      <c r="M13" s="13">
        <f t="shared" si="1"/>
        <v>5348.48</v>
      </c>
      <c r="N13" s="13">
        <f t="shared" si="1"/>
        <v>4945.4799999999996</v>
      </c>
      <c r="O13" s="13">
        <f t="shared" si="1"/>
        <v>5040.9799999999996</v>
      </c>
      <c r="P13" s="13">
        <f t="shared" si="1"/>
        <v>4630.9799999999996</v>
      </c>
    </row>
    <row r="14" spans="1:16" ht="11" customHeight="1" x14ac:dyDescent="0.15">
      <c r="A14" s="9"/>
      <c r="B14" s="9" t="s">
        <v>24</v>
      </c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</row>
    <row r="15" spans="1:16" ht="11" customHeight="1" x14ac:dyDescent="0.15">
      <c r="C15" s="14" t="e" cm="1">
        <f t="array" ref="C15">-J160 - Computer Equipment</f>
        <v>#NAME?</v>
      </c>
      <c r="D15" s="11">
        <v>1739.13</v>
      </c>
      <c r="E15" s="11">
        <v>1739.13</v>
      </c>
      <c r="F15" s="11">
        <v>1739.13</v>
      </c>
      <c r="G15" s="11">
        <v>1739.13</v>
      </c>
      <c r="H15" s="11">
        <v>1739.13</v>
      </c>
      <c r="I15" s="11">
        <v>0</v>
      </c>
      <c r="J15" s="11">
        <v>0</v>
      </c>
      <c r="K15" s="11">
        <v>0</v>
      </c>
      <c r="L15" s="11">
        <v>0</v>
      </c>
      <c r="M15" s="11">
        <v>0</v>
      </c>
      <c r="N15" s="11">
        <v>0</v>
      </c>
      <c r="O15" s="11">
        <v>0</v>
      </c>
      <c r="P15" s="11">
        <v>0</v>
      </c>
    </row>
    <row r="16" spans="1:16" ht="11" customHeight="1" x14ac:dyDescent="0.15">
      <c r="B16" s="12" t="s">
        <v>25</v>
      </c>
      <c r="D16" s="13">
        <f t="shared" ref="D16:P16" si="2">D15</f>
        <v>1739.13</v>
      </c>
      <c r="E16" s="13">
        <f t="shared" si="2"/>
        <v>1739.13</v>
      </c>
      <c r="F16" s="13">
        <f t="shared" si="2"/>
        <v>1739.13</v>
      </c>
      <c r="G16" s="13">
        <f t="shared" si="2"/>
        <v>1739.13</v>
      </c>
      <c r="H16" s="13">
        <f t="shared" si="2"/>
        <v>1739.13</v>
      </c>
      <c r="I16" s="13">
        <f t="shared" si="2"/>
        <v>0</v>
      </c>
      <c r="J16" s="13">
        <f t="shared" si="2"/>
        <v>0</v>
      </c>
      <c r="K16" s="13">
        <f t="shared" si="2"/>
        <v>0</v>
      </c>
      <c r="L16" s="13">
        <f t="shared" si="2"/>
        <v>0</v>
      </c>
      <c r="M16" s="13">
        <f t="shared" si="2"/>
        <v>0</v>
      </c>
      <c r="N16" s="13">
        <f t="shared" si="2"/>
        <v>0</v>
      </c>
      <c r="O16" s="13">
        <f t="shared" si="2"/>
        <v>0</v>
      </c>
      <c r="P16" s="13">
        <f t="shared" si="2"/>
        <v>0</v>
      </c>
    </row>
    <row r="17" spans="1:16" ht="11" customHeight="1" x14ac:dyDescent="0.15">
      <c r="A17" s="12" t="s">
        <v>26</v>
      </c>
      <c r="D17" s="13">
        <f t="shared" ref="D17:P17" si="3">(0 + (D13 + D16))</f>
        <v>15572.79</v>
      </c>
      <c r="E17" s="13">
        <f>(0 + (E13 + E16))</f>
        <v>12902.649999999998</v>
      </c>
      <c r="F17" s="13">
        <f t="shared" si="3"/>
        <v>16984.8</v>
      </c>
      <c r="G17" s="13">
        <f t="shared" si="3"/>
        <v>12213.009999999998</v>
      </c>
      <c r="H17" s="13">
        <f t="shared" si="3"/>
        <v>11818.759999999998</v>
      </c>
      <c r="I17" s="13">
        <f t="shared" si="3"/>
        <v>8980.23</v>
      </c>
      <c r="J17" s="13">
        <f t="shared" si="3"/>
        <v>8576.48</v>
      </c>
      <c r="K17" s="13">
        <f t="shared" si="3"/>
        <v>6667.48</v>
      </c>
      <c r="L17" s="13">
        <f t="shared" si="3"/>
        <v>6256.48</v>
      </c>
      <c r="M17" s="13">
        <f t="shared" si="3"/>
        <v>5348.48</v>
      </c>
      <c r="N17" s="13">
        <f t="shared" si="3"/>
        <v>4945.4799999999996</v>
      </c>
      <c r="O17" s="13">
        <f t="shared" si="3"/>
        <v>5040.9799999999996</v>
      </c>
      <c r="P17" s="13">
        <f t="shared" si="3"/>
        <v>4630.9799999999996</v>
      </c>
    </row>
    <row r="18" spans="1:16" ht="13.25" customHeight="1" x14ac:dyDescent="0.15"/>
    <row r="19" spans="1:16" s="5" customFormat="1" ht="12" customHeight="1" x14ac:dyDescent="0.15">
      <c r="A19" s="6" t="s">
        <v>27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</row>
    <row r="20" spans="1:16" ht="11" customHeight="1" x14ac:dyDescent="0.15">
      <c r="A20" s="9"/>
      <c r="B20" s="9" t="s">
        <v>28</v>
      </c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</row>
    <row r="21" spans="1:16" ht="11" customHeight="1" x14ac:dyDescent="0.15">
      <c r="A21" s="9"/>
      <c r="B21" s="9"/>
      <c r="C21" s="9" t="s">
        <v>29</v>
      </c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</row>
    <row r="22" spans="1:16" ht="11" customHeight="1" x14ac:dyDescent="0.15">
      <c r="C22" s="10" t="s">
        <v>30</v>
      </c>
      <c r="D22" s="11">
        <v>2163.56</v>
      </c>
      <c r="E22" s="11">
        <v>163.56</v>
      </c>
      <c r="F22" s="11">
        <v>1900</v>
      </c>
      <c r="G22" s="11">
        <v>1900</v>
      </c>
      <c r="H22" s="11">
        <v>1900</v>
      </c>
      <c r="I22" s="11">
        <v>0</v>
      </c>
      <c r="J22" s="11">
        <v>0</v>
      </c>
      <c r="K22" s="11">
        <v>0</v>
      </c>
      <c r="L22" s="11">
        <v>0</v>
      </c>
      <c r="M22" s="11">
        <v>0</v>
      </c>
      <c r="N22" s="11">
        <v>0</v>
      </c>
      <c r="O22" s="11">
        <v>0</v>
      </c>
      <c r="P22" s="11">
        <v>0</v>
      </c>
    </row>
    <row r="23" spans="1:16" ht="11" customHeight="1" x14ac:dyDescent="0.15">
      <c r="C23" s="10" t="s">
        <v>31</v>
      </c>
      <c r="D23" s="11">
        <v>2048.48</v>
      </c>
      <c r="E23" s="11">
        <v>1040.95</v>
      </c>
      <c r="F23" s="11">
        <v>864.86</v>
      </c>
      <c r="G23" s="11">
        <v>448.7</v>
      </c>
      <c r="H23" s="11">
        <v>406.37</v>
      </c>
      <c r="I23" s="11">
        <v>465.64</v>
      </c>
      <c r="J23" s="11">
        <v>423.31</v>
      </c>
      <c r="K23" s="11">
        <v>253.98</v>
      </c>
      <c r="L23" s="11">
        <v>211.65</v>
      </c>
      <c r="M23" s="11">
        <v>126.99</v>
      </c>
      <c r="N23" s="11">
        <v>84.66</v>
      </c>
      <c r="O23" s="11">
        <v>84.66</v>
      </c>
      <c r="P23" s="11">
        <v>42.33</v>
      </c>
    </row>
    <row r="24" spans="1:16" ht="11" customHeight="1" x14ac:dyDescent="0.15">
      <c r="C24" s="10" t="s">
        <v>32</v>
      </c>
      <c r="D24" s="11">
        <v>4130.9799999999996</v>
      </c>
      <c r="E24" s="11">
        <v>4130.9799999999996</v>
      </c>
      <c r="F24" s="11">
        <v>4130.9799999999996</v>
      </c>
      <c r="G24" s="11">
        <v>4130.9799999999996</v>
      </c>
      <c r="H24" s="11">
        <v>4130.9799999999996</v>
      </c>
      <c r="I24" s="11">
        <v>4130.9799999999996</v>
      </c>
      <c r="J24" s="11">
        <v>4130.9799999999996</v>
      </c>
      <c r="K24" s="11">
        <v>4130.9799999999996</v>
      </c>
      <c r="L24" s="11">
        <v>4130.9799999999996</v>
      </c>
      <c r="M24" s="11">
        <v>4130.9799999999996</v>
      </c>
      <c r="N24" s="11">
        <v>4130.9799999999996</v>
      </c>
      <c r="O24" s="11">
        <v>4130.9799999999996</v>
      </c>
      <c r="P24" s="11">
        <v>4130.9799999999996</v>
      </c>
    </row>
    <row r="25" spans="1:16" ht="11" customHeight="1" x14ac:dyDescent="0.15">
      <c r="C25" s="12" t="s">
        <v>33</v>
      </c>
      <c r="D25" s="13">
        <f t="shared" ref="D25:P25" si="4">SUM(D22:D24)</f>
        <v>8343.02</v>
      </c>
      <c r="E25" s="13">
        <f t="shared" si="4"/>
        <v>5335.49</v>
      </c>
      <c r="F25" s="13">
        <f t="shared" si="4"/>
        <v>6895.84</v>
      </c>
      <c r="G25" s="13">
        <f t="shared" si="4"/>
        <v>6479.6799999999994</v>
      </c>
      <c r="H25" s="13">
        <f t="shared" si="4"/>
        <v>6437.3499999999995</v>
      </c>
      <c r="I25" s="13">
        <f t="shared" si="4"/>
        <v>4596.62</v>
      </c>
      <c r="J25" s="13">
        <f t="shared" si="4"/>
        <v>4554.29</v>
      </c>
      <c r="K25" s="13">
        <f t="shared" si="4"/>
        <v>4384.9599999999991</v>
      </c>
      <c r="L25" s="13">
        <f t="shared" si="4"/>
        <v>4342.6299999999992</v>
      </c>
      <c r="M25" s="13">
        <f t="shared" si="4"/>
        <v>4257.9699999999993</v>
      </c>
      <c r="N25" s="13">
        <f t="shared" si="4"/>
        <v>4215.6399999999994</v>
      </c>
      <c r="O25" s="13">
        <f t="shared" si="4"/>
        <v>4215.6399999999994</v>
      </c>
      <c r="P25" s="13">
        <f t="shared" si="4"/>
        <v>4173.3099999999995</v>
      </c>
    </row>
    <row r="26" spans="1:16" ht="11" customHeight="1" x14ac:dyDescent="0.15">
      <c r="B26" s="12" t="s">
        <v>34</v>
      </c>
      <c r="D26" s="13">
        <f t="shared" ref="D26:P26" si="5">(0 + D25)</f>
        <v>8343.02</v>
      </c>
      <c r="E26" s="13">
        <f t="shared" si="5"/>
        <v>5335.49</v>
      </c>
      <c r="F26" s="13">
        <f t="shared" si="5"/>
        <v>6895.84</v>
      </c>
      <c r="G26" s="13">
        <f t="shared" si="5"/>
        <v>6479.6799999999994</v>
      </c>
      <c r="H26" s="13">
        <f t="shared" si="5"/>
        <v>6437.3499999999995</v>
      </c>
      <c r="I26" s="13">
        <f t="shared" si="5"/>
        <v>4596.62</v>
      </c>
      <c r="J26" s="13">
        <f t="shared" si="5"/>
        <v>4554.29</v>
      </c>
      <c r="K26" s="13">
        <f t="shared" si="5"/>
        <v>4384.9599999999991</v>
      </c>
      <c r="L26" s="13">
        <f t="shared" si="5"/>
        <v>4342.6299999999992</v>
      </c>
      <c r="M26" s="13">
        <f t="shared" si="5"/>
        <v>4257.9699999999993</v>
      </c>
      <c r="N26" s="13">
        <f t="shared" si="5"/>
        <v>4215.6399999999994</v>
      </c>
      <c r="O26" s="13">
        <f t="shared" si="5"/>
        <v>4215.6399999999994</v>
      </c>
      <c r="P26" s="13">
        <f t="shared" si="5"/>
        <v>4173.3099999999995</v>
      </c>
    </row>
    <row r="27" spans="1:16" ht="11" customHeight="1" x14ac:dyDescent="0.15">
      <c r="A27" s="9"/>
      <c r="B27" s="9" t="s">
        <v>35</v>
      </c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</row>
    <row r="28" spans="1:16" ht="11" customHeight="1" x14ac:dyDescent="0.15">
      <c r="C28" s="10" t="s">
        <v>36</v>
      </c>
      <c r="D28" s="11">
        <v>457.67</v>
      </c>
      <c r="E28" s="11">
        <v>457.67</v>
      </c>
      <c r="F28" s="11">
        <v>457.67</v>
      </c>
      <c r="G28" s="11">
        <v>457.67</v>
      </c>
      <c r="H28" s="11">
        <v>457.67</v>
      </c>
      <c r="I28" s="11">
        <v>457.67</v>
      </c>
      <c r="J28" s="11">
        <v>457.67</v>
      </c>
      <c r="K28" s="11">
        <v>457.67</v>
      </c>
      <c r="L28" s="11">
        <v>457.67</v>
      </c>
      <c r="M28" s="11">
        <v>457.67</v>
      </c>
      <c r="N28" s="11">
        <v>457.67</v>
      </c>
      <c r="O28" s="11">
        <v>457.67</v>
      </c>
      <c r="P28" s="11">
        <v>0</v>
      </c>
    </row>
    <row r="29" spans="1:16" ht="11" customHeight="1" x14ac:dyDescent="0.15">
      <c r="C29" s="10" t="s">
        <v>37</v>
      </c>
      <c r="D29" s="11">
        <v>6772.1</v>
      </c>
      <c r="E29" s="11">
        <v>7109.49</v>
      </c>
      <c r="F29" s="11">
        <v>9631.2900000000009</v>
      </c>
      <c r="G29" s="11">
        <v>5275.66</v>
      </c>
      <c r="H29" s="11">
        <v>4923.74</v>
      </c>
      <c r="I29" s="11">
        <v>3925.94</v>
      </c>
      <c r="J29" s="11">
        <v>3564.52</v>
      </c>
      <c r="K29" s="11">
        <v>1824.85</v>
      </c>
      <c r="L29" s="11">
        <v>1456.18</v>
      </c>
      <c r="M29" s="11">
        <v>632.84</v>
      </c>
      <c r="N29" s="11">
        <v>272.17</v>
      </c>
      <c r="O29" s="11">
        <v>367.67</v>
      </c>
      <c r="P29" s="11">
        <v>457.67</v>
      </c>
    </row>
    <row r="30" spans="1:16" ht="11" customHeight="1" x14ac:dyDescent="0.15">
      <c r="B30" s="12" t="s">
        <v>38</v>
      </c>
      <c r="D30" s="13">
        <f t="shared" ref="D30:P30" si="6">SUM(D28:D29)</f>
        <v>7229.77</v>
      </c>
      <c r="E30" s="13">
        <f t="shared" si="6"/>
        <v>7567.16</v>
      </c>
      <c r="F30" s="13">
        <f t="shared" si="6"/>
        <v>10088.960000000001</v>
      </c>
      <c r="G30" s="13">
        <f t="shared" si="6"/>
        <v>5733.33</v>
      </c>
      <c r="H30" s="13">
        <f t="shared" si="6"/>
        <v>5381.41</v>
      </c>
      <c r="I30" s="13">
        <f t="shared" si="6"/>
        <v>4383.6099999999997</v>
      </c>
      <c r="J30" s="13">
        <f t="shared" si="6"/>
        <v>4022.19</v>
      </c>
      <c r="K30" s="13">
        <f t="shared" si="6"/>
        <v>2282.52</v>
      </c>
      <c r="L30" s="13">
        <f t="shared" si="6"/>
        <v>1913.8500000000001</v>
      </c>
      <c r="M30" s="13">
        <f t="shared" si="6"/>
        <v>1090.51</v>
      </c>
      <c r="N30" s="13">
        <f t="shared" si="6"/>
        <v>729.84</v>
      </c>
      <c r="O30" s="13">
        <f t="shared" si="6"/>
        <v>825.34</v>
      </c>
      <c r="P30" s="13">
        <f t="shared" si="6"/>
        <v>457.67</v>
      </c>
    </row>
    <row r="31" spans="1:16" ht="11" customHeight="1" x14ac:dyDescent="0.15">
      <c r="A31" s="12" t="s">
        <v>39</v>
      </c>
      <c r="D31" s="13">
        <f t="shared" ref="D31:P31" si="7">(0 + (D26 + D30))</f>
        <v>15572.79</v>
      </c>
      <c r="E31" s="13">
        <f t="shared" si="7"/>
        <v>12902.65</v>
      </c>
      <c r="F31" s="13">
        <f t="shared" si="7"/>
        <v>16984.800000000003</v>
      </c>
      <c r="G31" s="13">
        <f t="shared" si="7"/>
        <v>12213.009999999998</v>
      </c>
      <c r="H31" s="13">
        <f t="shared" si="7"/>
        <v>11818.759999999998</v>
      </c>
      <c r="I31" s="13">
        <f t="shared" si="7"/>
        <v>8980.23</v>
      </c>
      <c r="J31" s="13">
        <f t="shared" si="7"/>
        <v>8576.48</v>
      </c>
      <c r="K31" s="13">
        <f t="shared" si="7"/>
        <v>6667.48</v>
      </c>
      <c r="L31" s="13">
        <f t="shared" si="7"/>
        <v>6256.48</v>
      </c>
      <c r="M31" s="13">
        <f t="shared" si="7"/>
        <v>5348.48</v>
      </c>
      <c r="N31" s="13">
        <f t="shared" si="7"/>
        <v>4945.4799999999996</v>
      </c>
      <c r="O31" s="13">
        <f t="shared" si="7"/>
        <v>5040.9799999999996</v>
      </c>
      <c r="P31" s="13">
        <f t="shared" si="7"/>
        <v>4630.9799999999996</v>
      </c>
    </row>
  </sheetData>
  <pageMargins left="0.7" right="0.7" top="0.75" bottom="0.75" header="0.3" footer="0.3"/>
  <pageSetup paperSize="9" fitToWidth="0" fitToHeight="0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Balance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Nathan Monaghan</cp:lastModifiedBy>
  <dcterms:modified xsi:type="dcterms:W3CDTF">2026-03-19T00:38:53Z</dcterms:modified>
</cp:coreProperties>
</file>