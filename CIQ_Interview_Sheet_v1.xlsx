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.stubbs/Desktop/"/>
    </mc:Choice>
  </mc:AlternateContent>
  <xr:revisionPtr revIDLastSave="0" documentId="13_ncr:1_{C5186EA9-EBFD-2B4E-A24C-BEB2F80F339E}" xr6:coauthVersionLast="47" xr6:coauthVersionMax="47" xr10:uidLastSave="{00000000-0000-0000-0000-000000000000}"/>
  <bookViews>
    <workbookView xWindow="35660" yWindow="-3600" windowWidth="40020" windowHeight="21760" xr2:uid="{3823FDA1-2ABE-744F-97BB-68366126ABAC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2" i="1" l="1"/>
  <c r="P115" i="1" s="1"/>
  <c r="P107" i="1"/>
  <c r="P99" i="1"/>
  <c r="P97" i="1"/>
  <c r="P89" i="1"/>
  <c r="P86" i="1"/>
  <c r="P76" i="1"/>
  <c r="P63" i="1"/>
  <c r="P65" i="1" s="1"/>
  <c r="P48" i="1"/>
  <c r="P49" i="1" s="1"/>
  <c r="P34" i="1"/>
  <c r="P29" i="1"/>
  <c r="P21" i="1"/>
  <c r="P22" i="1" s="1"/>
  <c r="P13" i="1"/>
  <c r="P14" i="1" s="1"/>
  <c r="P100" i="1" l="1"/>
  <c r="P116" i="1"/>
  <c r="P37" i="1"/>
  <c r="P38" i="1" s="1"/>
  <c r="P90" i="1"/>
  <c r="P91" i="1" s="1"/>
  <c r="P101" i="1" s="1"/>
  <c r="P117" i="1" s="1"/>
  <c r="O112" i="1" l="1"/>
  <c r="O115" i="1" s="1"/>
  <c r="Q112" i="1"/>
  <c r="Q115" i="1" s="1"/>
  <c r="O107" i="1"/>
  <c r="Q107" i="1"/>
  <c r="Q116" i="1" s="1"/>
  <c r="O99" i="1"/>
  <c r="Q99" i="1"/>
  <c r="O97" i="1"/>
  <c r="Q97" i="1"/>
  <c r="O89" i="1"/>
  <c r="Q89" i="1"/>
  <c r="O86" i="1"/>
  <c r="Q86" i="1"/>
  <c r="O76" i="1"/>
  <c r="Q76" i="1"/>
  <c r="O63" i="1"/>
  <c r="O65" i="1" s="1"/>
  <c r="Q63" i="1"/>
  <c r="Q65" i="1" s="1"/>
  <c r="O48" i="1"/>
  <c r="O49" i="1" s="1"/>
  <c r="Q48" i="1"/>
  <c r="Q49" i="1"/>
  <c r="O34" i="1"/>
  <c r="Q34" i="1"/>
  <c r="O29" i="1"/>
  <c r="Q29" i="1"/>
  <c r="O21" i="1"/>
  <c r="O22" i="1" s="1"/>
  <c r="Q21" i="1"/>
  <c r="Q22" i="1" s="1"/>
  <c r="Q13" i="1"/>
  <c r="Q14" i="1" s="1"/>
  <c r="O13" i="1"/>
  <c r="O14" i="1" s="1"/>
  <c r="O54" i="1"/>
  <c r="N112" i="1"/>
  <c r="N115" i="1" s="1"/>
  <c r="M112" i="1"/>
  <c r="M115" i="1" s="1"/>
  <c r="L112" i="1"/>
  <c r="L115" i="1" s="1"/>
  <c r="K112" i="1"/>
  <c r="K115" i="1" s="1"/>
  <c r="J112" i="1"/>
  <c r="J115" i="1" s="1"/>
  <c r="I112" i="1"/>
  <c r="I115" i="1" s="1"/>
  <c r="H112" i="1"/>
  <c r="H115" i="1" s="1"/>
  <c r="G112" i="1"/>
  <c r="G115" i="1" s="1"/>
  <c r="F112" i="1"/>
  <c r="F115" i="1" s="1"/>
  <c r="N107" i="1"/>
  <c r="M107" i="1"/>
  <c r="L107" i="1"/>
  <c r="K107" i="1"/>
  <c r="J107" i="1"/>
  <c r="I107" i="1"/>
  <c r="H107" i="1"/>
  <c r="G107" i="1"/>
  <c r="F107" i="1"/>
  <c r="N99" i="1"/>
  <c r="M99" i="1"/>
  <c r="L99" i="1"/>
  <c r="K99" i="1"/>
  <c r="J99" i="1"/>
  <c r="I99" i="1"/>
  <c r="H99" i="1"/>
  <c r="G99" i="1"/>
  <c r="F99" i="1"/>
  <c r="N97" i="1"/>
  <c r="M97" i="1"/>
  <c r="L97" i="1"/>
  <c r="K97" i="1"/>
  <c r="J97" i="1"/>
  <c r="I97" i="1"/>
  <c r="H97" i="1"/>
  <c r="G97" i="1"/>
  <c r="F97" i="1"/>
  <c r="N89" i="1"/>
  <c r="M89" i="1"/>
  <c r="L89" i="1"/>
  <c r="K89" i="1"/>
  <c r="J89" i="1"/>
  <c r="I89" i="1"/>
  <c r="H89" i="1"/>
  <c r="G89" i="1"/>
  <c r="F89" i="1"/>
  <c r="N86" i="1"/>
  <c r="M86" i="1"/>
  <c r="L86" i="1"/>
  <c r="K86" i="1"/>
  <c r="J86" i="1"/>
  <c r="I86" i="1"/>
  <c r="H86" i="1"/>
  <c r="G86" i="1"/>
  <c r="F86" i="1"/>
  <c r="N76" i="1"/>
  <c r="M76" i="1"/>
  <c r="L76" i="1"/>
  <c r="K76" i="1"/>
  <c r="J76" i="1"/>
  <c r="I76" i="1"/>
  <c r="H76" i="1"/>
  <c r="G76" i="1"/>
  <c r="F76" i="1"/>
  <c r="N63" i="1"/>
  <c r="N65" i="1" s="1"/>
  <c r="M63" i="1"/>
  <c r="M65" i="1" s="1"/>
  <c r="L63" i="1"/>
  <c r="L65" i="1" s="1"/>
  <c r="K63" i="1"/>
  <c r="K65" i="1" s="1"/>
  <c r="J63" i="1"/>
  <c r="J65" i="1" s="1"/>
  <c r="I63" i="1"/>
  <c r="I65" i="1" s="1"/>
  <c r="H63" i="1"/>
  <c r="H65" i="1" s="1"/>
  <c r="G63" i="1"/>
  <c r="G65" i="1" s="1"/>
  <c r="F63" i="1"/>
  <c r="F65" i="1" s="1"/>
  <c r="N54" i="1"/>
  <c r="M54" i="1"/>
  <c r="L54" i="1"/>
  <c r="K54" i="1"/>
  <c r="J54" i="1"/>
  <c r="I54" i="1"/>
  <c r="H54" i="1"/>
  <c r="G54" i="1"/>
  <c r="F54" i="1"/>
  <c r="N48" i="1"/>
  <c r="N49" i="1" s="1"/>
  <c r="M48" i="1"/>
  <c r="M49" i="1" s="1"/>
  <c r="L48" i="1"/>
  <c r="L49" i="1" s="1"/>
  <c r="K48" i="1"/>
  <c r="K49" i="1" s="1"/>
  <c r="J48" i="1"/>
  <c r="J49" i="1" s="1"/>
  <c r="I48" i="1"/>
  <c r="I49" i="1" s="1"/>
  <c r="H48" i="1"/>
  <c r="H49" i="1" s="1"/>
  <c r="G48" i="1"/>
  <c r="G49" i="1" s="1"/>
  <c r="F48" i="1"/>
  <c r="F49" i="1" s="1"/>
  <c r="N34" i="1"/>
  <c r="M34" i="1"/>
  <c r="L34" i="1"/>
  <c r="K34" i="1"/>
  <c r="J34" i="1"/>
  <c r="I34" i="1"/>
  <c r="H34" i="1"/>
  <c r="G34" i="1"/>
  <c r="F34" i="1"/>
  <c r="N29" i="1"/>
  <c r="M29" i="1"/>
  <c r="L29" i="1"/>
  <c r="K29" i="1"/>
  <c r="J29" i="1"/>
  <c r="I29" i="1"/>
  <c r="H29" i="1"/>
  <c r="G29" i="1"/>
  <c r="F29" i="1"/>
  <c r="N21" i="1"/>
  <c r="N22" i="1" s="1"/>
  <c r="M21" i="1"/>
  <c r="M22" i="1" s="1"/>
  <c r="L21" i="1"/>
  <c r="L22" i="1" s="1"/>
  <c r="K21" i="1"/>
  <c r="K22" i="1" s="1"/>
  <c r="J21" i="1"/>
  <c r="J22" i="1" s="1"/>
  <c r="I21" i="1"/>
  <c r="I22" i="1" s="1"/>
  <c r="H21" i="1"/>
  <c r="H22" i="1" s="1"/>
  <c r="G21" i="1"/>
  <c r="G22" i="1" s="1"/>
  <c r="F21" i="1"/>
  <c r="F22" i="1" s="1"/>
  <c r="N13" i="1"/>
  <c r="N14" i="1" s="1"/>
  <c r="M13" i="1"/>
  <c r="M14" i="1" s="1"/>
  <c r="L13" i="1"/>
  <c r="L14" i="1" s="1"/>
  <c r="K13" i="1"/>
  <c r="K14" i="1" s="1"/>
  <c r="J13" i="1"/>
  <c r="J14" i="1" s="1"/>
  <c r="I13" i="1"/>
  <c r="I14" i="1" s="1"/>
  <c r="H13" i="1"/>
  <c r="H14" i="1" s="1"/>
  <c r="G13" i="1"/>
  <c r="G14" i="1" s="1"/>
  <c r="F13" i="1"/>
  <c r="F14" i="1" s="1"/>
  <c r="O37" i="1" l="1"/>
  <c r="Q100" i="1"/>
  <c r="Q37" i="1"/>
  <c r="O100" i="1"/>
  <c r="O38" i="1"/>
  <c r="I100" i="1"/>
  <c r="L100" i="1"/>
  <c r="K37" i="1"/>
  <c r="K38" i="1" s="1"/>
  <c r="M55" i="1"/>
  <c r="G90" i="1"/>
  <c r="G91" i="1" s="1"/>
  <c r="M100" i="1"/>
  <c r="I55" i="1"/>
  <c r="O55" i="1"/>
  <c r="Q38" i="1"/>
  <c r="Q90" i="1"/>
  <c r="Q91" i="1" s="1"/>
  <c r="Q101" i="1" s="1"/>
  <c r="Q117" i="1" s="1"/>
  <c r="J100" i="1"/>
  <c r="L55" i="1"/>
  <c r="O90" i="1"/>
  <c r="O91" i="1" s="1"/>
  <c r="J55" i="1"/>
  <c r="L90" i="1"/>
  <c r="L91" i="1" s="1"/>
  <c r="N55" i="1"/>
  <c r="F55" i="1"/>
  <c r="F100" i="1"/>
  <c r="G55" i="1"/>
  <c r="M90" i="1"/>
  <c r="M91" i="1" s="1"/>
  <c r="G100" i="1"/>
  <c r="H90" i="1"/>
  <c r="H91" i="1" s="1"/>
  <c r="H55" i="1"/>
  <c r="N90" i="1"/>
  <c r="N91" i="1" s="1"/>
  <c r="H100" i="1"/>
  <c r="K90" i="1"/>
  <c r="K91" i="1" s="1"/>
  <c r="I90" i="1"/>
  <c r="I91" i="1" s="1"/>
  <c r="I101" i="1" s="1"/>
  <c r="I117" i="1" s="1"/>
  <c r="J90" i="1"/>
  <c r="J91" i="1" s="1"/>
  <c r="N100" i="1"/>
  <c r="K55" i="1"/>
  <c r="K100" i="1"/>
  <c r="F37" i="1"/>
  <c r="F38" i="1" s="1"/>
  <c r="F90" i="1"/>
  <c r="F91" i="1" s="1"/>
  <c r="M37" i="1"/>
  <c r="M38" i="1" s="1"/>
  <c r="G37" i="1"/>
  <c r="G38" i="1" s="1"/>
  <c r="H37" i="1"/>
  <c r="H38" i="1" s="1"/>
  <c r="I37" i="1"/>
  <c r="I38" i="1" s="1"/>
  <c r="J37" i="1"/>
  <c r="J38" i="1" s="1"/>
  <c r="J56" i="1" s="1"/>
  <c r="L37" i="1"/>
  <c r="L38" i="1" s="1"/>
  <c r="N37" i="1"/>
  <c r="N38" i="1" s="1"/>
  <c r="O56" i="1" l="1"/>
  <c r="H56" i="1"/>
  <c r="J101" i="1"/>
  <c r="J117" i="1" s="1"/>
  <c r="O101" i="1"/>
  <c r="O117" i="1" s="1"/>
  <c r="L101" i="1"/>
  <c r="L117" i="1" s="1"/>
  <c r="K101" i="1"/>
  <c r="K117" i="1" s="1"/>
  <c r="M101" i="1"/>
  <c r="M117" i="1" s="1"/>
  <c r="I56" i="1"/>
  <c r="K56" i="1"/>
  <c r="M56" i="1"/>
  <c r="F56" i="1"/>
  <c r="G56" i="1"/>
  <c r="N56" i="1"/>
  <c r="L56" i="1"/>
  <c r="H101" i="1"/>
  <c r="H117" i="1" s="1"/>
  <c r="G101" i="1"/>
  <c r="G117" i="1" s="1"/>
  <c r="N101" i="1"/>
  <c r="N117" i="1" s="1"/>
  <c r="F101" i="1"/>
  <c r="F117" i="1" s="1"/>
</calcChain>
</file>

<file path=xl/sharedStrings.xml><?xml version="1.0" encoding="utf-8"?>
<sst xmlns="http://schemas.openxmlformats.org/spreadsheetml/2006/main" count="116" uniqueCount="116">
  <si>
    <t>Balance Sheet</t>
  </si>
  <si>
    <t>NorthCo Pools</t>
  </si>
  <si>
    <t>Distribution account</t>
  </si>
  <si>
    <t>ASSETS</t>
  </si>
  <si>
    <t>Current Assets</t>
  </si>
  <si>
    <t>1000 Cash</t>
  </si>
  <si>
    <t>1010 Main Street Checking 0974</t>
  </si>
  <si>
    <t>1011 Main Street Checking 1458</t>
  </si>
  <si>
    <t>1020 BofA Checking 6759</t>
  </si>
  <si>
    <t>1320 Investment Account</t>
  </si>
  <si>
    <t>Total 1000 Cash</t>
  </si>
  <si>
    <t>Total Cash</t>
  </si>
  <si>
    <t>Accounts Receivable</t>
  </si>
  <si>
    <t>1100 Accounts Receivable</t>
  </si>
  <si>
    <t>1101 Accounts Receivable 2</t>
  </si>
  <si>
    <t>1110 Allowance for Doubtful Accounts</t>
  </si>
  <si>
    <t>1150 Earned but Unbilled Revenue</t>
  </si>
  <si>
    <t>1199 Receivable from Escrow</t>
  </si>
  <si>
    <t>Total 1100 Accounts Receivable</t>
  </si>
  <si>
    <t>Total Accounts Receivable</t>
  </si>
  <si>
    <t>Other Current Assets</t>
  </si>
  <si>
    <t>1200 Inventory</t>
  </si>
  <si>
    <t>1201 Chlorine Products</t>
  </si>
  <si>
    <t>1202 Pool Pumps &amp; Filters</t>
  </si>
  <si>
    <t>1203 Heaters &amp; Automation Systems</t>
  </si>
  <si>
    <t>1204 Cleaning Tools</t>
  </si>
  <si>
    <t>Total 1200 Inventory</t>
  </si>
  <si>
    <t>1300 Other Current Assets</t>
  </si>
  <si>
    <t>1310 Prepaid Expenses</t>
  </si>
  <si>
    <t>1311 Prepaid Deposits</t>
  </si>
  <si>
    <t>1312 Other Current Receivables</t>
  </si>
  <si>
    <t>Total 1310 Prepaid Expenses</t>
  </si>
  <si>
    <t>1321 Interest Receivable</t>
  </si>
  <si>
    <t>1360 Unamortized Commission Expense</t>
  </si>
  <si>
    <t>Total Other Current Assets</t>
  </si>
  <si>
    <t>Total Current Assets</t>
  </si>
  <si>
    <t>1900 Other Long Term Assets</t>
  </si>
  <si>
    <t>Fixed Assets</t>
  </si>
  <si>
    <t>1500 Fixed Assets</t>
  </si>
  <si>
    <t>1501 Warehouse Equipment</t>
  </si>
  <si>
    <t>1502 Accumulated Depreciation - Warehouse Equipment</t>
  </si>
  <si>
    <t>1503 Furniture &amp; Fixtures</t>
  </si>
  <si>
    <t>1504 Accumulated Depreciation - Furniture &amp; Fixtures</t>
  </si>
  <si>
    <t>1505 Delivery Vehicles</t>
  </si>
  <si>
    <t>1506 Accumulated Depreciation -  Delivery Vehicles</t>
  </si>
  <si>
    <t>Total 1500 Fixed Assets</t>
  </si>
  <si>
    <t>Total Fixed Assets</t>
  </si>
  <si>
    <t>Other Assets</t>
  </si>
  <si>
    <t>1930 Long-term Prepaid Expenses</t>
  </si>
  <si>
    <t>1998 Intangible Assets</t>
  </si>
  <si>
    <t>1999 Goodwill</t>
  </si>
  <si>
    <t>Total Other Assets</t>
  </si>
  <si>
    <t>Total Non-Current Assets</t>
  </si>
  <si>
    <t>Total Assets</t>
  </si>
  <si>
    <t>Liabilities</t>
  </si>
  <si>
    <t>Current Liabilities</t>
  </si>
  <si>
    <t>Accounts Payable</t>
  </si>
  <si>
    <t>2000 Accounts Payable</t>
  </si>
  <si>
    <t>2010 Credit Card 1</t>
  </si>
  <si>
    <t>2011 Vendor Accounts Payable</t>
  </si>
  <si>
    <t>Total 2000 Accounts Payable</t>
  </si>
  <si>
    <t>2119 Freight &amp; Logistics Accounts Payable</t>
  </si>
  <si>
    <t>Total Accounts Payable</t>
  </si>
  <si>
    <t>Other Current Liabilities</t>
  </si>
  <si>
    <t>2100 Other Current Liabilities</t>
  </si>
  <si>
    <t>2110 Deferred Revenue</t>
  </si>
  <si>
    <t>2150 Accrued Expenses</t>
  </si>
  <si>
    <t>2151 Interest Payable</t>
  </si>
  <si>
    <t>2156 Deferred Rent Payments</t>
  </si>
  <si>
    <t>2157 Deferred Credit - Marketing</t>
  </si>
  <si>
    <t>2190 ST Lease Liabilities</t>
  </si>
  <si>
    <t>2401 Current Portion of Long Term Debt: Loan 1</t>
  </si>
  <si>
    <t>2402 Current Portion of Long Term Debt: Loan 2</t>
  </si>
  <si>
    <t>Total 2100 Other Current Liabilities</t>
  </si>
  <si>
    <t>2200 Accrued Payroll Expense</t>
  </si>
  <si>
    <t>2205 Accrued Bonus</t>
  </si>
  <si>
    <t>2210 Accrued Commissions</t>
  </si>
  <si>
    <t>2220 Payroll Taxes Payable</t>
  </si>
  <si>
    <t>2230 401K Payable</t>
  </si>
  <si>
    <t>2240 HSA Payable</t>
  </si>
  <si>
    <t>2260 Accrued Benefits</t>
  </si>
  <si>
    <t>2261 Medical - FSA</t>
  </si>
  <si>
    <t>2262 Transportation - FSA</t>
  </si>
  <si>
    <t>Total 2200 Accrued Payroll Expense</t>
  </si>
  <si>
    <t>2300 Sales / Use Tax Payable</t>
  </si>
  <si>
    <t>2301 Sales Taxes Payable</t>
  </si>
  <si>
    <t>Total 2300 Sales / Use Tax Payable</t>
  </si>
  <si>
    <t>Total Other Current Liabilities</t>
  </si>
  <si>
    <t>Total Current Liabilities</t>
  </si>
  <si>
    <t>2700 Long Term Liabilities</t>
  </si>
  <si>
    <t>2720 LT Deferred Revenue</t>
  </si>
  <si>
    <t>2790 LT Lease Liabilities</t>
  </si>
  <si>
    <t>2801 Long Term Debt: Loan 1</t>
  </si>
  <si>
    <t>2802 Long Term Debt: Loan 2</t>
  </si>
  <si>
    <t>Total 2700 Long Term Liabilities</t>
  </si>
  <si>
    <t>2730 Deferred Tax Liability</t>
  </si>
  <si>
    <t>Total Other Non-Current Liabilities</t>
  </si>
  <si>
    <t>Total Non-Current Liabilities</t>
  </si>
  <si>
    <t>Total Liabilities</t>
  </si>
  <si>
    <t>Equity</t>
  </si>
  <si>
    <t>3000 Owners Equity</t>
  </si>
  <si>
    <t>Net Income</t>
  </si>
  <si>
    <t>Retained Earnings</t>
  </si>
  <si>
    <t>3100 Retained Earnings</t>
  </si>
  <si>
    <t>Total Retained Earnings</t>
  </si>
  <si>
    <t>3010 Cumulative Translation Adjustment</t>
  </si>
  <si>
    <t>3102 Shareholder Distributions</t>
  </si>
  <si>
    <t>3200 Stock</t>
  </si>
  <si>
    <t>3210 Common Stock</t>
  </si>
  <si>
    <t>Total 3200 Stock</t>
  </si>
  <si>
    <t>3400 Opening Balance</t>
  </si>
  <si>
    <t>3500 Opening Balance Equity</t>
  </si>
  <si>
    <t>Total Other Equity</t>
  </si>
  <si>
    <t>Total Equity</t>
  </si>
  <si>
    <t>Total Liabilities &amp; Equity</t>
  </si>
  <si>
    <t>As of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</si>
</sst>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Border="1" applyAlignment="1">
      <alignment horizontal="center" wrapText="1"/>
    </xf>
    <xf numFmtId="4" fontId="5" fillId="0" borderId="0" xfId="0" applyNumberFormat="1" applyFont="1" applyAlignment="1">
      <alignment wrapText="1"/>
    </xf>
    <xf numFmtId="164" fontId="6" fillId="0" borderId="2" xfId="0" applyNumberFormat="1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3"/>
    </xf>
    <xf numFmtId="0" fontId="5" fillId="0" borderId="0" xfId="0" applyFont="1" applyAlignment="1">
      <alignment horizontal="left" indent="4"/>
    </xf>
    <xf numFmtId="0" fontId="6" fillId="0" borderId="0" xfId="0" applyFont="1" applyAlignment="1">
      <alignment horizontal="left" indent="4"/>
    </xf>
    <xf numFmtId="0" fontId="6" fillId="0" borderId="0" xfId="0" applyFont="1" applyAlignment="1">
      <alignment horizontal="left" indent="3"/>
    </xf>
    <xf numFmtId="0" fontId="5" fillId="0" borderId="0" xfId="0" applyFont="1" applyAlignment="1">
      <alignment horizontal="left" indent="2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inden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B335-3B2D-3745-9F3A-2B236F06FF37}">
  <dimension ref="A1:Q117"/>
  <sheetViews>
    <sheetView tabSelected="1" zoomScale="120" zoomScaleNormal="120" workbookViewId="0">
      <selection activeCell="N14" sqref="N14"/>
    </sheetView>
  </sheetViews>
  <sheetFormatPr baseColWidth="10" defaultColWidth="12.6640625" defaultRowHeight="16" x14ac:dyDescent="0.2"/>
  <cols>
    <col min="1" max="1" width="16.5" bestFit="1" customWidth="1"/>
    <col min="2" max="2" width="11" customWidth="1"/>
    <col min="3" max="3" width="9.1640625" customWidth="1"/>
    <col min="4" max="4" width="20" customWidth="1"/>
    <col min="5" max="5" width="28.83203125" customWidth="1"/>
    <col min="6" max="17" width="13.6640625" customWidth="1"/>
  </cols>
  <sheetData>
    <row r="1" spans="1:17" ht="14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4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5.75" customHeight="1" x14ac:dyDescent="0.2">
      <c r="A3" s="15" t="s">
        <v>115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5" spans="1:17" ht="15.75" customHeight="1" x14ac:dyDescent="0.2">
      <c r="A5" s="1" t="s">
        <v>2</v>
      </c>
      <c r="B5" s="1"/>
      <c r="C5" s="1"/>
      <c r="D5" s="1"/>
      <c r="E5" s="1"/>
      <c r="F5" s="16">
        <v>45717</v>
      </c>
      <c r="G5" s="16">
        <v>45748</v>
      </c>
      <c r="H5" s="16">
        <v>45778</v>
      </c>
      <c r="I5" s="16">
        <v>45809</v>
      </c>
      <c r="J5" s="16">
        <v>45839</v>
      </c>
      <c r="K5" s="16">
        <v>45870</v>
      </c>
      <c r="L5" s="16">
        <v>45901</v>
      </c>
      <c r="M5" s="16">
        <v>45931</v>
      </c>
      <c r="N5" s="16">
        <v>45962</v>
      </c>
      <c r="O5" s="16">
        <v>45992</v>
      </c>
      <c r="P5" s="16">
        <v>46023</v>
      </c>
      <c r="Q5" s="16">
        <v>46054</v>
      </c>
    </row>
    <row r="6" spans="1:17" ht="15.75" customHeight="1" x14ac:dyDescent="0.2">
      <c r="A6" s="4" t="s">
        <v>3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75" customHeight="1" x14ac:dyDescent="0.2">
      <c r="B7" s="5" t="s">
        <v>4</v>
      </c>
      <c r="C7" s="5"/>
      <c r="D7" s="5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customHeight="1" x14ac:dyDescent="0.2">
      <c r="B8" s="6"/>
      <c r="C8" s="6" t="s">
        <v>5</v>
      </c>
      <c r="D8" s="6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75" customHeight="1" x14ac:dyDescent="0.2">
      <c r="B9" s="7"/>
      <c r="C9" s="7"/>
      <c r="D9" s="7" t="s">
        <v>6</v>
      </c>
      <c r="E9" s="7"/>
      <c r="F9" s="2">
        <v>5618675.5</v>
      </c>
      <c r="G9" s="2">
        <v>6583808.5</v>
      </c>
      <c r="H9" s="2">
        <v>6745921.5</v>
      </c>
      <c r="I9" s="2">
        <v>6610378.5</v>
      </c>
      <c r="J9" s="2">
        <v>6853455</v>
      </c>
      <c r="K9" s="2">
        <v>7110748</v>
      </c>
      <c r="L9" s="2">
        <v>7382968.5</v>
      </c>
      <c r="M9" s="2">
        <v>6770217.5</v>
      </c>
      <c r="N9" s="2">
        <v>6768618</v>
      </c>
      <c r="O9" s="2">
        <v>6767019</v>
      </c>
      <c r="P9" s="2">
        <v>6890874.5545599982</v>
      </c>
      <c r="Q9" s="2">
        <v>6991481.3453779984</v>
      </c>
    </row>
    <row r="10" spans="1:17" ht="15.75" customHeight="1" x14ac:dyDescent="0.2">
      <c r="B10" s="7"/>
      <c r="C10" s="7"/>
      <c r="D10" s="7" t="s">
        <v>7</v>
      </c>
      <c r="E10" s="7"/>
      <c r="F10" s="2">
        <v>2809337.8</v>
      </c>
      <c r="G10" s="2">
        <v>3291904.2</v>
      </c>
      <c r="H10" s="2">
        <v>3372960.8</v>
      </c>
      <c r="I10" s="2">
        <v>3305189.2</v>
      </c>
      <c r="J10" s="2">
        <v>3426727.8</v>
      </c>
      <c r="K10" s="2">
        <v>3555374</v>
      </c>
      <c r="L10" s="2">
        <v>3691484.2</v>
      </c>
      <c r="M10" s="2">
        <v>3385108.8</v>
      </c>
      <c r="N10" s="2">
        <v>3384309</v>
      </c>
      <c r="O10" s="2">
        <v>3383509</v>
      </c>
      <c r="P10" s="2">
        <v>3383509.2</v>
      </c>
      <c r="Q10" s="2">
        <v>3383509.2</v>
      </c>
    </row>
    <row r="11" spans="1:17" ht="15.75" customHeight="1" x14ac:dyDescent="0.2">
      <c r="B11" s="7"/>
      <c r="C11" s="7"/>
      <c r="D11" s="7" t="s">
        <v>8</v>
      </c>
      <c r="E11" s="7"/>
      <c r="F11" s="2">
        <v>936445.94</v>
      </c>
      <c r="G11" s="2">
        <v>1097301.3999999999</v>
      </c>
      <c r="H11" s="2">
        <v>1124320.2</v>
      </c>
      <c r="I11" s="2">
        <v>1101729.8</v>
      </c>
      <c r="J11" s="2">
        <v>1142242.5</v>
      </c>
      <c r="K11" s="2">
        <v>1185124.8</v>
      </c>
      <c r="L11" s="2">
        <v>1230494.8</v>
      </c>
      <c r="M11" s="2">
        <v>1128369.6000000001</v>
      </c>
      <c r="N11" s="2">
        <v>1128103</v>
      </c>
      <c r="O11" s="2">
        <v>1127837</v>
      </c>
      <c r="P11" s="2">
        <v>1127836.5</v>
      </c>
      <c r="Q11" s="2">
        <v>1127836.5</v>
      </c>
    </row>
    <row r="12" spans="1:17" ht="15.75" customHeight="1" x14ac:dyDescent="0.2">
      <c r="B12" s="7"/>
      <c r="C12" s="7"/>
      <c r="D12" s="7" t="s">
        <v>9</v>
      </c>
      <c r="E12" s="7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5.75" customHeight="1" x14ac:dyDescent="0.2">
      <c r="B13" s="8"/>
      <c r="D13" s="8" t="s">
        <v>10</v>
      </c>
      <c r="E13" s="8"/>
      <c r="F13" s="3">
        <f t="shared" ref="F13:N13" si="0">F8+F9+F10+F11+F12</f>
        <v>9364459.2400000002</v>
      </c>
      <c r="G13" s="3">
        <f t="shared" si="0"/>
        <v>10973014.1</v>
      </c>
      <c r="H13" s="3">
        <f t="shared" si="0"/>
        <v>11243202.5</v>
      </c>
      <c r="I13" s="3">
        <f t="shared" si="0"/>
        <v>11017297.5</v>
      </c>
      <c r="J13" s="3">
        <f t="shared" si="0"/>
        <v>11422425.300000001</v>
      </c>
      <c r="K13" s="3">
        <f t="shared" si="0"/>
        <v>11851246.800000001</v>
      </c>
      <c r="L13" s="3">
        <f t="shared" si="0"/>
        <v>12304947.5</v>
      </c>
      <c r="M13" s="3">
        <f t="shared" si="0"/>
        <v>11283695.9</v>
      </c>
      <c r="N13" s="3">
        <f t="shared" si="0"/>
        <v>11281030</v>
      </c>
      <c r="O13" s="3">
        <f t="shared" ref="O13:Q13" si="1">O8+O9+O10+O11+O12</f>
        <v>11278365</v>
      </c>
      <c r="P13" s="3">
        <f t="shared" ref="P13" si="2">P8+P9+P10+P11+P12</f>
        <v>11402220.254559997</v>
      </c>
      <c r="Q13" s="3">
        <f t="shared" si="1"/>
        <v>11502827.045378</v>
      </c>
    </row>
    <row r="14" spans="1:17" ht="15.75" customHeight="1" x14ac:dyDescent="0.2">
      <c r="C14" s="9" t="s">
        <v>11</v>
      </c>
      <c r="D14" s="9"/>
      <c r="E14" s="9"/>
      <c r="F14" s="3">
        <f t="shared" ref="F14:N14" si="3">F13</f>
        <v>9364459.2400000002</v>
      </c>
      <c r="G14" s="3">
        <f t="shared" si="3"/>
        <v>10973014.1</v>
      </c>
      <c r="H14" s="3">
        <f t="shared" si="3"/>
        <v>11243202.5</v>
      </c>
      <c r="I14" s="3">
        <f t="shared" si="3"/>
        <v>11017297.5</v>
      </c>
      <c r="J14" s="3">
        <f t="shared" si="3"/>
        <v>11422425.300000001</v>
      </c>
      <c r="K14" s="3">
        <f t="shared" si="3"/>
        <v>11851246.800000001</v>
      </c>
      <c r="L14" s="3">
        <f t="shared" si="3"/>
        <v>12304947.5</v>
      </c>
      <c r="M14" s="3">
        <f t="shared" si="3"/>
        <v>11283695.9</v>
      </c>
      <c r="N14" s="3">
        <f t="shared" si="3"/>
        <v>11281030</v>
      </c>
      <c r="O14" s="3">
        <f t="shared" ref="O14:Q14" si="4">O13</f>
        <v>11278365</v>
      </c>
      <c r="P14" s="3">
        <f t="shared" ref="P14" si="5">P13</f>
        <v>11402220.254559997</v>
      </c>
      <c r="Q14" s="3">
        <f t="shared" si="4"/>
        <v>11502827.045378</v>
      </c>
    </row>
    <row r="15" spans="1:17" ht="15.75" customHeight="1" x14ac:dyDescent="0.2">
      <c r="B15" s="10" t="s">
        <v>12</v>
      </c>
      <c r="C15" s="10"/>
      <c r="D15" s="10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75" customHeight="1" x14ac:dyDescent="0.2">
      <c r="B16" s="6"/>
      <c r="C16" s="6" t="s">
        <v>13</v>
      </c>
      <c r="D16" s="6"/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2:17" ht="15.75" customHeight="1" x14ac:dyDescent="0.2">
      <c r="B17" s="7"/>
      <c r="C17" s="7"/>
      <c r="D17" s="7" t="s">
        <v>14</v>
      </c>
      <c r="E17" s="7"/>
      <c r="F17" s="2">
        <v>622601.75</v>
      </c>
      <c r="G17" s="2">
        <v>2075339.2</v>
      </c>
      <c r="H17" s="2">
        <v>1992325.8</v>
      </c>
      <c r="I17" s="2">
        <v>1461038.9</v>
      </c>
      <c r="J17" s="2">
        <v>1534090.8</v>
      </c>
      <c r="K17" s="2">
        <v>1610795.4</v>
      </c>
      <c r="L17" s="2">
        <v>1691335.1</v>
      </c>
      <c r="M17" s="2">
        <v>507400.53</v>
      </c>
      <c r="N17" s="2">
        <v>507400.53</v>
      </c>
      <c r="O17" s="2">
        <v>507401</v>
      </c>
      <c r="P17" s="2">
        <v>509514.7</v>
      </c>
      <c r="Q17" s="2">
        <v>509514.7</v>
      </c>
    </row>
    <row r="18" spans="2:17" ht="15.75" customHeight="1" x14ac:dyDescent="0.2">
      <c r="B18" s="7"/>
      <c r="C18" s="7"/>
      <c r="D18" s="7" t="s">
        <v>15</v>
      </c>
      <c r="E18" s="7"/>
      <c r="F18" s="2">
        <v>-34588.99</v>
      </c>
      <c r="G18" s="2">
        <v>-115296.63</v>
      </c>
      <c r="H18" s="2">
        <v>-110684.76</v>
      </c>
      <c r="I18" s="2">
        <v>-81168.820000000007</v>
      </c>
      <c r="J18" s="2">
        <v>-85227.27</v>
      </c>
      <c r="K18" s="2">
        <v>-89488.63</v>
      </c>
      <c r="L18" s="2">
        <v>-93963.06</v>
      </c>
      <c r="M18" s="2">
        <v>-28188.92</v>
      </c>
      <c r="N18" s="2">
        <v>-28188.92</v>
      </c>
      <c r="O18" s="2">
        <v>-28189</v>
      </c>
      <c r="P18" s="2">
        <v>-28306.373</v>
      </c>
      <c r="Q18" s="2">
        <v>-28306.373</v>
      </c>
    </row>
    <row r="19" spans="2:17" ht="15.75" customHeight="1" x14ac:dyDescent="0.2">
      <c r="B19" s="7"/>
      <c r="C19" s="7"/>
      <c r="D19" s="7" t="s">
        <v>16</v>
      </c>
      <c r="E19" s="7"/>
      <c r="F19" s="2">
        <v>103766.96</v>
      </c>
      <c r="G19" s="2">
        <v>345889.88</v>
      </c>
      <c r="H19" s="2">
        <v>332054.28000000003</v>
      </c>
      <c r="I19" s="2">
        <v>243506.47</v>
      </c>
      <c r="J19" s="2">
        <v>255681.8</v>
      </c>
      <c r="K19" s="2">
        <v>268465.88</v>
      </c>
      <c r="L19" s="2">
        <v>281889.2</v>
      </c>
      <c r="M19" s="2">
        <v>84566.75</v>
      </c>
      <c r="N19" s="2">
        <v>84566.75</v>
      </c>
      <c r="O19" s="2">
        <v>84567</v>
      </c>
      <c r="P19" s="2">
        <v>84919.11</v>
      </c>
      <c r="Q19" s="2">
        <v>84919.11</v>
      </c>
    </row>
    <row r="20" spans="2:17" ht="15.75" customHeight="1" x14ac:dyDescent="0.2">
      <c r="B20" s="7"/>
      <c r="C20" s="7"/>
      <c r="D20" s="7" t="s">
        <v>17</v>
      </c>
      <c r="E20" s="7"/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2:17" ht="15.75" customHeight="1" x14ac:dyDescent="0.2">
      <c r="B21" s="8"/>
      <c r="C21" s="9" t="s">
        <v>19</v>
      </c>
      <c r="D21" s="8" t="s">
        <v>18</v>
      </c>
      <c r="E21" s="8"/>
      <c r="F21" s="3">
        <f t="shared" ref="F21:N21" si="6">F17+F18+F19+F20</f>
        <v>691779.72</v>
      </c>
      <c r="G21" s="3">
        <f t="shared" si="6"/>
        <v>2305932.4499999997</v>
      </c>
      <c r="H21" s="3">
        <f t="shared" si="6"/>
        <v>2213695.3200000003</v>
      </c>
      <c r="I21" s="3">
        <f t="shared" si="6"/>
        <v>1623376.5499999998</v>
      </c>
      <c r="J21" s="3">
        <f t="shared" si="6"/>
        <v>1704545.33</v>
      </c>
      <c r="K21" s="3">
        <f t="shared" si="6"/>
        <v>1789772.65</v>
      </c>
      <c r="L21" s="3">
        <f t="shared" si="6"/>
        <v>1879261.24</v>
      </c>
      <c r="M21" s="3">
        <f t="shared" si="6"/>
        <v>563778.3600000001</v>
      </c>
      <c r="N21" s="3">
        <f t="shared" si="6"/>
        <v>563778.3600000001</v>
      </c>
      <c r="O21" s="3">
        <f t="shared" ref="O21:Q21" si="7">O17+O18+O19+O20</f>
        <v>563779</v>
      </c>
      <c r="P21" s="3">
        <f t="shared" ref="P21" si="8">P17+P18+P19+P20</f>
        <v>566127.43700000003</v>
      </c>
      <c r="Q21" s="3">
        <f t="shared" si="7"/>
        <v>566127.43700000003</v>
      </c>
    </row>
    <row r="22" spans="2:17" ht="15.75" customHeight="1" x14ac:dyDescent="0.2">
      <c r="C22" s="9"/>
      <c r="D22" s="9"/>
      <c r="E22" s="9"/>
      <c r="F22" s="3">
        <f t="shared" ref="F22:N22" si="9">F21</f>
        <v>691779.72</v>
      </c>
      <c r="G22" s="3">
        <f t="shared" si="9"/>
        <v>2305932.4499999997</v>
      </c>
      <c r="H22" s="3">
        <f t="shared" si="9"/>
        <v>2213695.3200000003</v>
      </c>
      <c r="I22" s="3">
        <f t="shared" si="9"/>
        <v>1623376.5499999998</v>
      </c>
      <c r="J22" s="3">
        <f t="shared" si="9"/>
        <v>1704545.33</v>
      </c>
      <c r="K22" s="3">
        <f t="shared" si="9"/>
        <v>1789772.65</v>
      </c>
      <c r="L22" s="3">
        <f t="shared" si="9"/>
        <v>1879261.24</v>
      </c>
      <c r="M22" s="3">
        <f t="shared" si="9"/>
        <v>563778.3600000001</v>
      </c>
      <c r="N22" s="3">
        <f t="shared" si="9"/>
        <v>563778.3600000001</v>
      </c>
      <c r="O22" s="3">
        <f t="shared" ref="O22:Q22" si="10">O21</f>
        <v>563779</v>
      </c>
      <c r="P22" s="3">
        <f t="shared" ref="P22" si="11">P21</f>
        <v>566127.43700000003</v>
      </c>
      <c r="Q22" s="3">
        <f t="shared" si="10"/>
        <v>566127.43700000003</v>
      </c>
    </row>
    <row r="23" spans="2:17" ht="15.75" customHeight="1" x14ac:dyDescent="0.2">
      <c r="B23" s="10" t="s">
        <v>20</v>
      </c>
      <c r="C23" s="10"/>
      <c r="D23" s="10"/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 ht="15.75" customHeight="1" x14ac:dyDescent="0.2">
      <c r="B24" s="6"/>
      <c r="C24" s="6" t="s">
        <v>21</v>
      </c>
      <c r="D24" s="6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 ht="15.75" customHeight="1" x14ac:dyDescent="0.2">
      <c r="B25" s="7"/>
      <c r="C25" s="7"/>
      <c r="D25" s="7" t="s">
        <v>22</v>
      </c>
      <c r="E25" s="7"/>
      <c r="F25" s="2">
        <v>51552</v>
      </c>
      <c r="G25" s="2">
        <v>171840.02</v>
      </c>
      <c r="H25" s="2">
        <v>164966.39999999999</v>
      </c>
      <c r="I25" s="2">
        <v>120975.37</v>
      </c>
      <c r="J25" s="2">
        <v>127024.14</v>
      </c>
      <c r="K25" s="2">
        <v>133375.34</v>
      </c>
      <c r="L25" s="2">
        <v>140044.10999999999</v>
      </c>
      <c r="M25" s="2">
        <v>42013.23</v>
      </c>
      <c r="N25" s="2">
        <v>42013.23</v>
      </c>
      <c r="O25" s="2">
        <v>42013</v>
      </c>
      <c r="P25" s="2">
        <v>42118.26</v>
      </c>
      <c r="Q25" s="2">
        <v>42118.26</v>
      </c>
    </row>
    <row r="26" spans="2:17" ht="15.75" customHeight="1" x14ac:dyDescent="0.2">
      <c r="B26" s="7"/>
      <c r="C26" s="7"/>
      <c r="D26" s="7" t="s">
        <v>23</v>
      </c>
      <c r="E26" s="7"/>
      <c r="F26" s="2">
        <v>121515.44</v>
      </c>
      <c r="G26" s="2">
        <v>405051.47</v>
      </c>
      <c r="H26" s="2">
        <v>388849.4</v>
      </c>
      <c r="I26" s="2">
        <v>285156.21999999997</v>
      </c>
      <c r="J26" s="2">
        <v>299414.03000000003</v>
      </c>
      <c r="K26" s="2">
        <v>314384.75</v>
      </c>
      <c r="L26" s="2">
        <v>330103.96999999997</v>
      </c>
      <c r="M26" s="2">
        <v>99031.19</v>
      </c>
      <c r="N26" s="2">
        <v>99031.19</v>
      </c>
      <c r="O26" s="2">
        <v>99031</v>
      </c>
      <c r="P26" s="2">
        <v>99278.766000000003</v>
      </c>
      <c r="Q26" s="2">
        <v>99278.766000000003</v>
      </c>
    </row>
    <row r="27" spans="2:17" ht="15.75" customHeight="1" x14ac:dyDescent="0.2">
      <c r="B27" s="7"/>
      <c r="C27" s="7"/>
      <c r="D27" s="7" t="s">
        <v>24</v>
      </c>
      <c r="E27" s="7"/>
      <c r="F27" s="2">
        <v>58916.58</v>
      </c>
      <c r="G27" s="2">
        <v>196388.6</v>
      </c>
      <c r="H27" s="2">
        <v>188533.05</v>
      </c>
      <c r="I27" s="2">
        <v>138257.56</v>
      </c>
      <c r="J27" s="2">
        <v>145170.44</v>
      </c>
      <c r="K27" s="2">
        <v>152428.95000000001</v>
      </c>
      <c r="L27" s="2">
        <v>160050.4</v>
      </c>
      <c r="M27" s="2">
        <v>48015.12</v>
      </c>
      <c r="N27" s="2">
        <v>48015.12</v>
      </c>
      <c r="O27" s="2">
        <v>48015</v>
      </c>
      <c r="P27" s="2">
        <v>48135.156000000003</v>
      </c>
      <c r="Q27" s="2">
        <v>48135.156000000003</v>
      </c>
    </row>
    <row r="28" spans="2:17" ht="15.75" customHeight="1" x14ac:dyDescent="0.2">
      <c r="B28" s="7"/>
      <c r="C28" s="7"/>
      <c r="D28" s="7" t="s">
        <v>25</v>
      </c>
      <c r="E28" s="7"/>
      <c r="F28" s="2">
        <v>81010.289999999994</v>
      </c>
      <c r="G28" s="2">
        <v>270034.3</v>
      </c>
      <c r="H28" s="2">
        <v>259232.94</v>
      </c>
      <c r="I28" s="2">
        <v>190104.16</v>
      </c>
      <c r="J28" s="2">
        <v>199609.36</v>
      </c>
      <c r="K28" s="2">
        <v>209589.83</v>
      </c>
      <c r="L28" s="2">
        <v>220069.31</v>
      </c>
      <c r="M28" s="2">
        <v>66020.800000000003</v>
      </c>
      <c r="N28" s="2">
        <v>66020.800000000003</v>
      </c>
      <c r="O28" s="2">
        <v>66021</v>
      </c>
      <c r="P28" s="2">
        <v>66185.850000000006</v>
      </c>
      <c r="Q28" s="2">
        <v>66185.850000000006</v>
      </c>
    </row>
    <row r="29" spans="2:17" ht="15.75" customHeight="1" x14ac:dyDescent="0.2">
      <c r="B29" s="8"/>
      <c r="D29" s="8" t="s">
        <v>26</v>
      </c>
      <c r="E29" s="8"/>
      <c r="F29" s="3">
        <f t="shared" ref="F29:Q29" si="12">F24+F25+F26+F27+F28</f>
        <v>312994.31</v>
      </c>
      <c r="G29" s="3">
        <f t="shared" si="12"/>
        <v>1043314.3899999999</v>
      </c>
      <c r="H29" s="3">
        <f t="shared" si="12"/>
        <v>1001581.79</v>
      </c>
      <c r="I29" s="3">
        <f t="shared" si="12"/>
        <v>734493.30999999994</v>
      </c>
      <c r="J29" s="3">
        <f t="shared" si="12"/>
        <v>771217.97000000009</v>
      </c>
      <c r="K29" s="3">
        <f t="shared" si="12"/>
        <v>809778.87</v>
      </c>
      <c r="L29" s="3">
        <f t="shared" si="12"/>
        <v>850267.79</v>
      </c>
      <c r="M29" s="3">
        <f t="shared" si="12"/>
        <v>255080.34000000003</v>
      </c>
      <c r="N29" s="3">
        <f t="shared" si="12"/>
        <v>255080.34000000003</v>
      </c>
      <c r="O29" s="3">
        <f t="shared" si="12"/>
        <v>255080</v>
      </c>
      <c r="P29" s="3">
        <f t="shared" ref="P29" si="13">P24+P25+P26+P27+P28</f>
        <v>255718.03200000004</v>
      </c>
      <c r="Q29" s="3">
        <f t="shared" si="12"/>
        <v>255718.03200000004</v>
      </c>
    </row>
    <row r="30" spans="2:17" ht="15.75" customHeight="1" x14ac:dyDescent="0.2">
      <c r="B30" s="6" t="s">
        <v>27</v>
      </c>
      <c r="D30" s="6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9025.3469999999998</v>
      </c>
      <c r="Q30" s="2">
        <v>9025.3469999999998</v>
      </c>
    </row>
    <row r="31" spans="2:17" ht="15.75" customHeight="1" x14ac:dyDescent="0.2">
      <c r="B31" s="6"/>
      <c r="C31" s="6" t="s">
        <v>28</v>
      </c>
      <c r="D31" s="6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ht="15.75" customHeight="1" x14ac:dyDescent="0.2">
      <c r="B32" s="7"/>
      <c r="C32" s="7"/>
      <c r="D32" s="7" t="s">
        <v>29</v>
      </c>
      <c r="E32" s="7"/>
      <c r="F32" s="2">
        <v>11046.86</v>
      </c>
      <c r="G32" s="2">
        <v>36822.86</v>
      </c>
      <c r="H32" s="2">
        <v>35349.949999999997</v>
      </c>
      <c r="I32" s="2">
        <v>25923.29</v>
      </c>
      <c r="J32" s="2">
        <v>27219.46</v>
      </c>
      <c r="K32" s="2">
        <v>28580.43</v>
      </c>
      <c r="L32" s="2">
        <v>30009.45</v>
      </c>
      <c r="M32" s="2">
        <v>9002.84</v>
      </c>
      <c r="N32" s="2">
        <v>9002.84</v>
      </c>
      <c r="O32" s="2">
        <v>9003</v>
      </c>
      <c r="P32" s="2">
        <v>9025.3469999999998</v>
      </c>
      <c r="Q32" s="2">
        <v>9025.3469999999998</v>
      </c>
    </row>
    <row r="33" spans="1:17" ht="15.75" customHeight="1" x14ac:dyDescent="0.2">
      <c r="B33" s="7"/>
      <c r="C33" s="7"/>
      <c r="D33" s="7" t="s">
        <v>30</v>
      </c>
      <c r="E33" s="7"/>
      <c r="F33" s="2">
        <v>7364.57</v>
      </c>
      <c r="G33" s="2">
        <v>24548.57</v>
      </c>
      <c r="H33" s="2">
        <v>23566.630000000005</v>
      </c>
      <c r="I33" s="2">
        <v>17282.199999999997</v>
      </c>
      <c r="J33" s="2">
        <v>18146.309999999998</v>
      </c>
      <c r="K33" s="2">
        <v>19053.620000000003</v>
      </c>
      <c r="L33" s="2">
        <v>20006.3</v>
      </c>
      <c r="M33" s="2">
        <v>6001.8899999999994</v>
      </c>
      <c r="N33" s="2">
        <v>6001.8899999999994</v>
      </c>
      <c r="O33" s="2">
        <v>6002</v>
      </c>
      <c r="P33" s="2">
        <v>0</v>
      </c>
      <c r="Q33" s="2">
        <v>0</v>
      </c>
    </row>
    <row r="34" spans="1:17" ht="15.75" customHeight="1" x14ac:dyDescent="0.2">
      <c r="B34" s="8"/>
      <c r="D34" s="8" t="s">
        <v>31</v>
      </c>
      <c r="E34" s="8"/>
      <c r="F34" s="3">
        <f t="shared" ref="F34:Q34" si="14">F31+F32+F33</f>
        <v>18411.43</v>
      </c>
      <c r="G34" s="3">
        <f t="shared" si="14"/>
        <v>61371.43</v>
      </c>
      <c r="H34" s="3">
        <f t="shared" si="14"/>
        <v>58916.58</v>
      </c>
      <c r="I34" s="3">
        <f t="shared" si="14"/>
        <v>43205.49</v>
      </c>
      <c r="J34" s="3">
        <f t="shared" si="14"/>
        <v>45365.77</v>
      </c>
      <c r="K34" s="3">
        <f t="shared" si="14"/>
        <v>47634.05</v>
      </c>
      <c r="L34" s="3">
        <f t="shared" si="14"/>
        <v>50015.75</v>
      </c>
      <c r="M34" s="3">
        <f t="shared" si="14"/>
        <v>15004.73</v>
      </c>
      <c r="N34" s="3">
        <f t="shared" si="14"/>
        <v>15004.73</v>
      </c>
      <c r="O34" s="3">
        <f t="shared" si="14"/>
        <v>15005</v>
      </c>
      <c r="P34" s="3">
        <f t="shared" ref="P34" si="15">P31+P32+P33</f>
        <v>9025.3469999999998</v>
      </c>
      <c r="Q34" s="3">
        <f t="shared" si="14"/>
        <v>9025.3469999999998</v>
      </c>
    </row>
    <row r="35" spans="1:17" ht="15.75" customHeight="1" x14ac:dyDescent="0.2">
      <c r="B35" s="6"/>
      <c r="C35" s="6" t="s">
        <v>32</v>
      </c>
      <c r="D35" s="6"/>
      <c r="E35" s="6"/>
      <c r="F35" s="2">
        <v>11724.18</v>
      </c>
      <c r="G35" s="2">
        <v>12710.92</v>
      </c>
      <c r="H35" s="2">
        <v>13885.14</v>
      </c>
      <c r="I35" s="2">
        <v>13912.81</v>
      </c>
      <c r="J35" s="2">
        <v>14024.83</v>
      </c>
      <c r="K35" s="2">
        <v>14546.05</v>
      </c>
      <c r="L35" s="2">
        <v>15097.62</v>
      </c>
      <c r="M35" s="2">
        <v>14742.9</v>
      </c>
      <c r="N35" s="2">
        <v>14102.95</v>
      </c>
      <c r="O35" s="2">
        <v>14100</v>
      </c>
      <c r="P35" s="2">
        <v>14134.869000000001</v>
      </c>
      <c r="Q35" s="2">
        <v>14134.869000000001</v>
      </c>
    </row>
    <row r="36" spans="1:17" ht="15.75" customHeight="1" x14ac:dyDescent="0.2">
      <c r="B36" s="6"/>
      <c r="C36" s="6" t="s">
        <v>33</v>
      </c>
      <c r="D36" s="6"/>
      <c r="E36" s="6"/>
      <c r="F36" s="2">
        <v>14051.83</v>
      </c>
      <c r="G36" s="2">
        <v>73209.09</v>
      </c>
      <c r="H36" s="2">
        <v>68598.070000000007</v>
      </c>
      <c r="I36" s="2">
        <v>46574.87</v>
      </c>
      <c r="J36" s="2">
        <v>49487.24</v>
      </c>
      <c r="K36" s="2">
        <v>52141.63</v>
      </c>
      <c r="L36" s="2">
        <v>54924.43</v>
      </c>
      <c r="M36" s="2">
        <v>6263.71</v>
      </c>
      <c r="N36" s="2">
        <v>6903.66</v>
      </c>
      <c r="O36" s="2">
        <v>6907</v>
      </c>
      <c r="P36" s="2">
        <v>6924.2676000000001</v>
      </c>
      <c r="Q36" s="2">
        <v>6924.2676000000001</v>
      </c>
    </row>
    <row r="37" spans="1:17" ht="15.75" customHeight="1" x14ac:dyDescent="0.2">
      <c r="B37" s="9" t="s">
        <v>34</v>
      </c>
      <c r="C37" s="9"/>
      <c r="D37" s="9"/>
      <c r="E37" s="9"/>
      <c r="F37" s="3">
        <f t="shared" ref="F37:N37" si="16">F29+F34+F35+F36</f>
        <v>357181.75</v>
      </c>
      <c r="G37" s="3">
        <f t="shared" si="16"/>
        <v>1190605.8299999998</v>
      </c>
      <c r="H37" s="3">
        <f t="shared" si="16"/>
        <v>1142981.58</v>
      </c>
      <c r="I37" s="3">
        <f t="shared" si="16"/>
        <v>838186.48</v>
      </c>
      <c r="J37" s="3">
        <f t="shared" si="16"/>
        <v>880095.81</v>
      </c>
      <c r="K37" s="3">
        <f t="shared" si="16"/>
        <v>924100.60000000009</v>
      </c>
      <c r="L37" s="3">
        <f t="shared" si="16"/>
        <v>970305.59000000008</v>
      </c>
      <c r="M37" s="3">
        <f t="shared" si="16"/>
        <v>291091.68000000005</v>
      </c>
      <c r="N37" s="3">
        <f t="shared" si="16"/>
        <v>291091.68</v>
      </c>
      <c r="O37" s="3">
        <f t="shared" ref="O37:Q37" si="17">O29+O34+O35+O36</f>
        <v>291092</v>
      </c>
      <c r="P37" s="3">
        <f t="shared" ref="P37" si="18">P29+P34+P35+P36</f>
        <v>285802.51560000004</v>
      </c>
      <c r="Q37" s="3">
        <f t="shared" si="17"/>
        <v>285802.51560000004</v>
      </c>
    </row>
    <row r="38" spans="1:17" ht="15.75" customHeight="1" x14ac:dyDescent="0.2">
      <c r="B38" s="11" t="s">
        <v>35</v>
      </c>
      <c r="C38" s="11"/>
      <c r="D38" s="11"/>
      <c r="E38" s="11"/>
      <c r="F38" s="3">
        <f t="shared" ref="F38:N38" si="19">F14+F22+F37</f>
        <v>10413420.710000001</v>
      </c>
      <c r="G38" s="3">
        <f t="shared" si="19"/>
        <v>14469552.379999999</v>
      </c>
      <c r="H38" s="3">
        <f t="shared" si="19"/>
        <v>14599879.4</v>
      </c>
      <c r="I38" s="3">
        <f t="shared" si="19"/>
        <v>13478860.530000001</v>
      </c>
      <c r="J38" s="3">
        <f t="shared" si="19"/>
        <v>14007066.440000001</v>
      </c>
      <c r="K38" s="3">
        <f t="shared" si="19"/>
        <v>14565120.050000001</v>
      </c>
      <c r="L38" s="3">
        <f t="shared" si="19"/>
        <v>15154514.33</v>
      </c>
      <c r="M38" s="3">
        <f t="shared" si="19"/>
        <v>12138565.939999999</v>
      </c>
      <c r="N38" s="3">
        <f t="shared" si="19"/>
        <v>12135900.039999999</v>
      </c>
      <c r="O38" s="3">
        <f t="shared" ref="O38:Q38" si="20">O14+O22+O37</f>
        <v>12133236</v>
      </c>
      <c r="P38" s="3">
        <f t="shared" ref="P38" si="21">P14+P22+P37</f>
        <v>12254150.207159998</v>
      </c>
      <c r="Q38" s="3">
        <f t="shared" si="20"/>
        <v>12354756.997978</v>
      </c>
    </row>
    <row r="39" spans="1:17" ht="15.75" customHeight="1" x14ac:dyDescent="0.2">
      <c r="B39" s="10" t="s">
        <v>36</v>
      </c>
      <c r="C39" s="10"/>
      <c r="D39" s="10"/>
      <c r="E39" s="10"/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ht="15.75" customHeight="1" x14ac:dyDescent="0.2">
      <c r="B40" s="10" t="s">
        <v>37</v>
      </c>
      <c r="C40" s="10"/>
      <c r="D40" s="10"/>
      <c r="E40" s="1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customHeight="1" x14ac:dyDescent="0.2">
      <c r="A41" s="6"/>
      <c r="B41" s="6"/>
      <c r="C41" s="6" t="s">
        <v>38</v>
      </c>
      <c r="D41" s="6"/>
      <c r="E41" s="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customHeight="1" x14ac:dyDescent="0.2">
      <c r="B42" s="7"/>
      <c r="C42" s="7"/>
      <c r="D42" s="7" t="s">
        <v>39</v>
      </c>
      <c r="E42" s="7"/>
      <c r="F42" s="2">
        <v>320000</v>
      </c>
      <c r="G42" s="2">
        <v>320000</v>
      </c>
      <c r="H42" s="2">
        <v>320000</v>
      </c>
      <c r="I42" s="2">
        <v>320000</v>
      </c>
      <c r="J42" s="2">
        <v>320000</v>
      </c>
      <c r="K42" s="2">
        <v>320000</v>
      </c>
      <c r="L42" s="2">
        <v>320000</v>
      </c>
      <c r="M42" s="2">
        <v>320000</v>
      </c>
      <c r="N42" s="2">
        <v>320000</v>
      </c>
      <c r="O42" s="2">
        <v>320000</v>
      </c>
      <c r="P42" s="2">
        <v>321600</v>
      </c>
      <c r="Q42" s="2">
        <v>321600</v>
      </c>
    </row>
    <row r="43" spans="1:17" ht="15.75" customHeight="1" x14ac:dyDescent="0.2">
      <c r="B43" s="7"/>
      <c r="C43" s="7"/>
      <c r="D43" s="7" t="s">
        <v>40</v>
      </c>
      <c r="E43" s="7"/>
      <c r="F43" s="2">
        <v>-242866.67</v>
      </c>
      <c r="G43" s="2">
        <v>-248200</v>
      </c>
      <c r="H43" s="2">
        <v>-253533.33</v>
      </c>
      <c r="I43" s="2">
        <v>-258866.67</v>
      </c>
      <c r="J43" s="2">
        <v>-264200</v>
      </c>
      <c r="K43" s="2">
        <v>-269533.34000000003</v>
      </c>
      <c r="L43" s="2">
        <v>-274866.65999999997</v>
      </c>
      <c r="M43" s="2">
        <v>-280200</v>
      </c>
      <c r="N43" s="2">
        <v>-285533.34000000003</v>
      </c>
      <c r="O43" s="2">
        <v>-290867</v>
      </c>
      <c r="P43" s="2">
        <v>-292321</v>
      </c>
      <c r="Q43" s="2">
        <v>-292321</v>
      </c>
    </row>
    <row r="44" spans="1:17" ht="15.75" customHeight="1" x14ac:dyDescent="0.2">
      <c r="B44" s="7"/>
      <c r="C44" s="7"/>
      <c r="D44" s="7" t="s">
        <v>41</v>
      </c>
      <c r="E44" s="7"/>
      <c r="F44" s="2">
        <v>130000</v>
      </c>
      <c r="G44" s="2">
        <v>130000</v>
      </c>
      <c r="H44" s="2">
        <v>130000</v>
      </c>
      <c r="I44" s="2">
        <v>130000</v>
      </c>
      <c r="J44" s="2">
        <v>130000</v>
      </c>
      <c r="K44" s="2">
        <v>130000</v>
      </c>
      <c r="L44" s="2">
        <v>130000</v>
      </c>
      <c r="M44" s="2">
        <v>130000</v>
      </c>
      <c r="N44" s="2">
        <v>130000</v>
      </c>
      <c r="O44" s="2">
        <v>130000</v>
      </c>
      <c r="P44" s="2">
        <v>130650</v>
      </c>
      <c r="Q44" s="2">
        <v>130650</v>
      </c>
    </row>
    <row r="45" spans="1:17" ht="15.75" customHeight="1" x14ac:dyDescent="0.2">
      <c r="B45" s="7"/>
      <c r="C45" s="7"/>
      <c r="D45" s="7" t="s">
        <v>42</v>
      </c>
      <c r="E45" s="7"/>
      <c r="F45" s="2">
        <v>-77133.33</v>
      </c>
      <c r="G45" s="2">
        <v>-79300</v>
      </c>
      <c r="H45" s="2">
        <v>-81466.67</v>
      </c>
      <c r="I45" s="2">
        <v>-83633.33</v>
      </c>
      <c r="J45" s="2">
        <v>-85800</v>
      </c>
      <c r="K45" s="2">
        <v>-87966.67</v>
      </c>
      <c r="L45" s="2">
        <v>-90133.33</v>
      </c>
      <c r="M45" s="2">
        <v>-92300</v>
      </c>
      <c r="N45" s="2">
        <v>-94466.67</v>
      </c>
      <c r="O45" s="2">
        <v>-96633</v>
      </c>
      <c r="P45" s="2">
        <v>-97116.5</v>
      </c>
      <c r="Q45" s="2">
        <v>-97116.5</v>
      </c>
    </row>
    <row r="46" spans="1:17" ht="15.75" customHeight="1" x14ac:dyDescent="0.2">
      <c r="B46" s="7"/>
      <c r="C46" s="7"/>
      <c r="D46" s="7" t="s">
        <v>43</v>
      </c>
      <c r="E46" s="7"/>
      <c r="F46" s="2">
        <v>300000</v>
      </c>
      <c r="G46" s="2">
        <v>300000</v>
      </c>
      <c r="H46" s="2">
        <v>300000</v>
      </c>
      <c r="I46" s="2">
        <v>300000</v>
      </c>
      <c r="J46" s="2">
        <v>300000</v>
      </c>
      <c r="K46" s="2">
        <v>300000</v>
      </c>
      <c r="L46" s="2">
        <v>300000</v>
      </c>
      <c r="M46" s="2">
        <v>300000</v>
      </c>
      <c r="N46" s="2">
        <v>300000</v>
      </c>
      <c r="O46" s="2">
        <v>300000</v>
      </c>
      <c r="P46" s="2">
        <v>301500</v>
      </c>
      <c r="Q46" s="2">
        <v>301500</v>
      </c>
    </row>
    <row r="47" spans="1:17" ht="15.75" customHeight="1" x14ac:dyDescent="0.2">
      <c r="B47" s="7"/>
      <c r="C47" s="7"/>
      <c r="D47" s="7" t="s">
        <v>44</v>
      </c>
      <c r="E47" s="7"/>
      <c r="F47" s="2">
        <v>-145000</v>
      </c>
      <c r="G47" s="2">
        <v>-150000</v>
      </c>
      <c r="H47" s="2">
        <v>-155000</v>
      </c>
      <c r="I47" s="2">
        <v>-160000</v>
      </c>
      <c r="J47" s="2">
        <v>-165000</v>
      </c>
      <c r="K47" s="2">
        <v>-170000</v>
      </c>
      <c r="L47" s="2">
        <v>-175000</v>
      </c>
      <c r="M47" s="2">
        <v>-180000</v>
      </c>
      <c r="N47" s="2">
        <v>-185000</v>
      </c>
      <c r="O47" s="2">
        <v>-190000</v>
      </c>
      <c r="P47" s="2">
        <v>-190950</v>
      </c>
      <c r="Q47" s="2">
        <v>-190950</v>
      </c>
    </row>
    <row r="48" spans="1:17" ht="15.75" customHeight="1" x14ac:dyDescent="0.2">
      <c r="B48" s="8"/>
      <c r="C48" s="8"/>
      <c r="D48" s="8" t="s">
        <v>45</v>
      </c>
      <c r="E48" s="8"/>
      <c r="F48" s="3">
        <f t="shared" ref="F48:N48" si="22">F42+F43+F44+F45+F46+F47</f>
        <v>285000</v>
      </c>
      <c r="G48" s="3">
        <f t="shared" si="22"/>
        <v>272500</v>
      </c>
      <c r="H48" s="3">
        <f t="shared" si="22"/>
        <v>260000</v>
      </c>
      <c r="I48" s="3">
        <f t="shared" si="22"/>
        <v>247500</v>
      </c>
      <c r="J48" s="3">
        <f t="shared" si="22"/>
        <v>235000</v>
      </c>
      <c r="K48" s="3">
        <f t="shared" si="22"/>
        <v>222499.99</v>
      </c>
      <c r="L48" s="3">
        <f t="shared" si="22"/>
        <v>210000.01</v>
      </c>
      <c r="M48" s="3">
        <f t="shared" si="22"/>
        <v>197500</v>
      </c>
      <c r="N48" s="3">
        <f t="shared" si="22"/>
        <v>184999.99</v>
      </c>
      <c r="O48" s="3">
        <f t="shared" ref="O48:Q48" si="23">O42+O43+O44+O45+O46+O47</f>
        <v>172500</v>
      </c>
      <c r="P48" s="3">
        <f t="shared" ref="P48" si="24">P42+P43+P44+P45+P46+P47</f>
        <v>173362.5</v>
      </c>
      <c r="Q48" s="3">
        <f t="shared" si="23"/>
        <v>173362.5</v>
      </c>
    </row>
    <row r="49" spans="1:17" ht="15.75" customHeight="1" x14ac:dyDescent="0.2">
      <c r="B49" s="9" t="s">
        <v>46</v>
      </c>
      <c r="C49" s="9"/>
      <c r="D49" s="9"/>
      <c r="E49" s="9"/>
      <c r="F49" s="3">
        <f t="shared" ref="F49:N49" si="25">F48</f>
        <v>285000</v>
      </c>
      <c r="G49" s="3">
        <f t="shared" si="25"/>
        <v>272500</v>
      </c>
      <c r="H49" s="3">
        <f t="shared" si="25"/>
        <v>260000</v>
      </c>
      <c r="I49" s="3">
        <f t="shared" si="25"/>
        <v>247500</v>
      </c>
      <c r="J49" s="3">
        <f t="shared" si="25"/>
        <v>235000</v>
      </c>
      <c r="K49" s="3">
        <f t="shared" si="25"/>
        <v>222499.99</v>
      </c>
      <c r="L49" s="3">
        <f t="shared" si="25"/>
        <v>210000.01</v>
      </c>
      <c r="M49" s="3">
        <f t="shared" si="25"/>
        <v>197500</v>
      </c>
      <c r="N49" s="3">
        <f t="shared" si="25"/>
        <v>184999.99</v>
      </c>
      <c r="O49" s="3">
        <f t="shared" ref="O49:Q49" si="26">O48</f>
        <v>172500</v>
      </c>
      <c r="P49" s="3">
        <f t="shared" ref="P49" si="27">P48</f>
        <v>173362.5</v>
      </c>
      <c r="Q49" s="3">
        <f t="shared" si="26"/>
        <v>173362.5</v>
      </c>
    </row>
    <row r="50" spans="1:17" ht="15.75" customHeight="1" x14ac:dyDescent="0.2">
      <c r="B50" s="10" t="s">
        <v>47</v>
      </c>
      <c r="C50" s="10"/>
      <c r="D50" s="10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 x14ac:dyDescent="0.2">
      <c r="B51" s="6"/>
      <c r="C51" s="6" t="s">
        <v>48</v>
      </c>
      <c r="D51" s="6"/>
      <c r="E51" s="6"/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 ht="15.75" customHeight="1" x14ac:dyDescent="0.2">
      <c r="B52" s="6"/>
      <c r="C52" s="6" t="s">
        <v>49</v>
      </c>
      <c r="D52" s="6"/>
      <c r="E52" s="6"/>
      <c r="F52" s="2">
        <v>216666.67</v>
      </c>
      <c r="G52" s="2">
        <v>214583.34</v>
      </c>
      <c r="H52" s="2">
        <v>212500</v>
      </c>
      <c r="I52" s="2">
        <v>210416.67</v>
      </c>
      <c r="J52" s="2">
        <v>208333.34</v>
      </c>
      <c r="K52" s="2">
        <v>206250</v>
      </c>
      <c r="L52" s="2">
        <v>204166.67</v>
      </c>
      <c r="M52" s="2">
        <v>202083.34</v>
      </c>
      <c r="N52" s="2">
        <v>200000</v>
      </c>
      <c r="O52" s="2">
        <v>197917</v>
      </c>
      <c r="P52" s="2">
        <v>198081.6</v>
      </c>
      <c r="Q52" s="2">
        <v>198081.6</v>
      </c>
    </row>
    <row r="53" spans="1:17" ht="15.75" customHeight="1" x14ac:dyDescent="0.2">
      <c r="B53" s="6"/>
      <c r="C53" s="6" t="s">
        <v>50</v>
      </c>
      <c r="D53" s="6"/>
      <c r="E53" s="6"/>
      <c r="F53" s="2">
        <v>56921</v>
      </c>
      <c r="G53" s="2">
        <v>56921</v>
      </c>
      <c r="H53" s="2">
        <v>56921</v>
      </c>
      <c r="I53" s="2">
        <v>56921</v>
      </c>
      <c r="J53" s="2">
        <v>56921</v>
      </c>
      <c r="K53" s="2">
        <v>56921</v>
      </c>
      <c r="L53" s="2">
        <v>56921</v>
      </c>
      <c r="M53" s="2">
        <v>56921</v>
      </c>
      <c r="N53" s="2">
        <v>56921</v>
      </c>
      <c r="O53" s="2">
        <v>56921</v>
      </c>
      <c r="P53" s="2">
        <v>56968.434000000001</v>
      </c>
      <c r="Q53" s="2">
        <v>56968.434000000001</v>
      </c>
    </row>
    <row r="54" spans="1:17" ht="15.75" customHeight="1" x14ac:dyDescent="0.2">
      <c r="B54" s="9"/>
      <c r="C54" s="9" t="s">
        <v>51</v>
      </c>
      <c r="D54" s="9"/>
      <c r="E54" s="9"/>
      <c r="F54" s="3">
        <f t="shared" ref="F54:N54" si="28">F51+F52+F53</f>
        <v>273587.67000000004</v>
      </c>
      <c r="G54" s="3">
        <f t="shared" si="28"/>
        <v>271504.33999999997</v>
      </c>
      <c r="H54" s="3">
        <f t="shared" si="28"/>
        <v>269421</v>
      </c>
      <c r="I54" s="3">
        <f t="shared" si="28"/>
        <v>267337.67000000004</v>
      </c>
      <c r="J54" s="3">
        <f t="shared" si="28"/>
        <v>265254.33999999997</v>
      </c>
      <c r="K54" s="3">
        <f t="shared" si="28"/>
        <v>263171</v>
      </c>
      <c r="L54" s="3">
        <f t="shared" si="28"/>
        <v>261087.67</v>
      </c>
      <c r="M54" s="3">
        <f t="shared" si="28"/>
        <v>259004.34</v>
      </c>
      <c r="N54" s="3">
        <f t="shared" si="28"/>
        <v>256921</v>
      </c>
      <c r="O54" s="3">
        <f t="shared" ref="O54" si="29">O51+O52+O53</f>
        <v>254838</v>
      </c>
      <c r="P54" s="3">
        <v>255050.03400000001</v>
      </c>
      <c r="Q54" s="3">
        <v>255050.03400000001</v>
      </c>
    </row>
    <row r="55" spans="1:17" ht="15.75" customHeight="1" x14ac:dyDescent="0.2">
      <c r="B55" s="11" t="s">
        <v>52</v>
      </c>
      <c r="C55" s="11"/>
      <c r="D55" s="11"/>
      <c r="E55" s="11"/>
      <c r="F55" s="3">
        <f t="shared" ref="F55:N55" si="30">F49+F54</f>
        <v>558587.67000000004</v>
      </c>
      <c r="G55" s="3">
        <f t="shared" si="30"/>
        <v>544004.34</v>
      </c>
      <c r="H55" s="3">
        <f t="shared" si="30"/>
        <v>529421</v>
      </c>
      <c r="I55" s="3">
        <f t="shared" si="30"/>
        <v>514837.67000000004</v>
      </c>
      <c r="J55" s="3">
        <f t="shared" si="30"/>
        <v>500254.33999999997</v>
      </c>
      <c r="K55" s="3">
        <f t="shared" si="30"/>
        <v>485670.99</v>
      </c>
      <c r="L55" s="3">
        <f t="shared" si="30"/>
        <v>471087.68000000005</v>
      </c>
      <c r="M55" s="3">
        <f t="shared" si="30"/>
        <v>456504.33999999997</v>
      </c>
      <c r="N55" s="3">
        <f t="shared" si="30"/>
        <v>441920.99</v>
      </c>
      <c r="O55" s="3">
        <f t="shared" ref="O55" si="31">O49+O54</f>
        <v>427338</v>
      </c>
      <c r="P55" s="3">
        <v>428412.53399999999</v>
      </c>
      <c r="Q55" s="3">
        <v>428412.53399999999</v>
      </c>
    </row>
    <row r="56" spans="1:17" ht="15.75" customHeight="1" x14ac:dyDescent="0.2">
      <c r="A56" s="12" t="s">
        <v>53</v>
      </c>
      <c r="B56" s="12"/>
      <c r="C56" s="12"/>
      <c r="D56" s="12"/>
      <c r="E56" s="12"/>
      <c r="F56" s="3">
        <f t="shared" ref="F56:N56" si="32">F38+F55</f>
        <v>10972008.380000001</v>
      </c>
      <c r="G56" s="3">
        <f t="shared" si="32"/>
        <v>15013556.719999999</v>
      </c>
      <c r="H56" s="3">
        <f t="shared" si="32"/>
        <v>15129300.4</v>
      </c>
      <c r="I56" s="3">
        <f t="shared" si="32"/>
        <v>13993698.200000001</v>
      </c>
      <c r="J56" s="3">
        <f t="shared" si="32"/>
        <v>14507320.780000001</v>
      </c>
      <c r="K56" s="3">
        <f t="shared" si="32"/>
        <v>15050791.040000001</v>
      </c>
      <c r="L56" s="3">
        <f t="shared" si="32"/>
        <v>15625602.01</v>
      </c>
      <c r="M56" s="3">
        <f t="shared" si="32"/>
        <v>12595070.279999999</v>
      </c>
      <c r="N56" s="3">
        <f t="shared" si="32"/>
        <v>12577821.029999999</v>
      </c>
      <c r="O56" s="3">
        <f t="shared" ref="O56" si="33">O38+O55</f>
        <v>12560574</v>
      </c>
      <c r="P56" s="3">
        <v>12685571.033600001</v>
      </c>
      <c r="Q56" s="3">
        <v>12685571.033600001</v>
      </c>
    </row>
    <row r="57" spans="1:17" x14ac:dyDescent="0.2">
      <c r="A57" s="4" t="s">
        <v>54</v>
      </c>
      <c r="B57" s="4"/>
      <c r="C57" s="4"/>
      <c r="D57" s="4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B58" s="5" t="s">
        <v>55</v>
      </c>
      <c r="C58" s="5"/>
      <c r="D58" s="5"/>
      <c r="E58" s="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B59" s="10"/>
      <c r="C59" s="10" t="s">
        <v>56</v>
      </c>
      <c r="D59" s="10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B60" s="6"/>
      <c r="C60" s="6"/>
      <c r="D60" s="6" t="s">
        <v>57</v>
      </c>
      <c r="E60" s="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B61" s="7"/>
      <c r="C61" s="7"/>
      <c r="D61" s="7"/>
      <c r="E61" s="7" t="s">
        <v>58</v>
      </c>
      <c r="F61" s="2">
        <v>25776</v>
      </c>
      <c r="G61" s="2">
        <v>85920.01</v>
      </c>
      <c r="H61" s="2">
        <v>82483.210000000006</v>
      </c>
      <c r="I61" s="2">
        <v>60487.68</v>
      </c>
      <c r="J61" s="2">
        <v>63512.07</v>
      </c>
      <c r="K61" s="2">
        <v>66687.67</v>
      </c>
      <c r="L61" s="2">
        <v>70022.06</v>
      </c>
      <c r="M61" s="2">
        <v>21006.62</v>
      </c>
      <c r="N61" s="2">
        <v>21006.62</v>
      </c>
      <c r="O61" s="2">
        <v>21007</v>
      </c>
      <c r="P61" s="2">
        <v>21129.157999999999</v>
      </c>
      <c r="Q61" s="2">
        <v>21129.157999999999</v>
      </c>
    </row>
    <row r="62" spans="1:17" x14ac:dyDescent="0.2">
      <c r="B62" s="7"/>
      <c r="C62" s="7"/>
      <c r="D62" s="7"/>
      <c r="E62" s="7" t="s">
        <v>59</v>
      </c>
      <c r="F62" s="2">
        <v>687360.06</v>
      </c>
      <c r="G62" s="2">
        <v>2291200.2000000002</v>
      </c>
      <c r="H62" s="2">
        <v>2199552.2000000002</v>
      </c>
      <c r="I62" s="2">
        <v>1613004.9</v>
      </c>
      <c r="J62" s="2">
        <v>1693655.1</v>
      </c>
      <c r="K62" s="2">
        <v>1778337.9</v>
      </c>
      <c r="L62" s="2">
        <v>1867254.8</v>
      </c>
      <c r="M62" s="2">
        <v>560176.43999999994</v>
      </c>
      <c r="N62" s="2">
        <v>560176.43999999994</v>
      </c>
      <c r="O62" s="2">
        <v>560176</v>
      </c>
      <c r="P62" s="2">
        <v>563444.1</v>
      </c>
      <c r="Q62" s="2">
        <v>563444.1</v>
      </c>
    </row>
    <row r="63" spans="1:17" x14ac:dyDescent="0.2">
      <c r="B63" s="8"/>
      <c r="C63" s="8"/>
      <c r="D63" s="8"/>
      <c r="E63" s="8" t="s">
        <v>60</v>
      </c>
      <c r="F63" s="3">
        <f t="shared" ref="F63:Q63" si="34">F61+F62</f>
        <v>713136.06</v>
      </c>
      <c r="G63" s="3">
        <f t="shared" si="34"/>
        <v>2377120.21</v>
      </c>
      <c r="H63" s="3">
        <f t="shared" si="34"/>
        <v>2282035.41</v>
      </c>
      <c r="I63" s="3">
        <f t="shared" si="34"/>
        <v>1673492.5799999998</v>
      </c>
      <c r="J63" s="3">
        <f t="shared" si="34"/>
        <v>1757167.1700000002</v>
      </c>
      <c r="K63" s="3">
        <f t="shared" si="34"/>
        <v>1845025.5699999998</v>
      </c>
      <c r="L63" s="3">
        <f t="shared" si="34"/>
        <v>1937276.86</v>
      </c>
      <c r="M63" s="3">
        <f t="shared" si="34"/>
        <v>581183.05999999994</v>
      </c>
      <c r="N63" s="3">
        <f t="shared" si="34"/>
        <v>581183.05999999994</v>
      </c>
      <c r="O63" s="3">
        <f t="shared" si="34"/>
        <v>581183</v>
      </c>
      <c r="P63" s="3">
        <f t="shared" ref="P63" si="35">P61+P62</f>
        <v>584573.25800000003</v>
      </c>
      <c r="Q63" s="3">
        <f t="shared" si="34"/>
        <v>584573.25800000003</v>
      </c>
    </row>
    <row r="64" spans="1:17" x14ac:dyDescent="0.2">
      <c r="B64" s="6"/>
      <c r="C64" s="6"/>
      <c r="D64" s="6" t="s">
        <v>61</v>
      </c>
      <c r="E64" s="6"/>
      <c r="F64" s="2">
        <v>146064.01999999999</v>
      </c>
      <c r="G64" s="2">
        <v>486880.03</v>
      </c>
      <c r="H64" s="2">
        <v>467404.84</v>
      </c>
      <c r="I64" s="2">
        <v>342763.53</v>
      </c>
      <c r="J64" s="2">
        <v>359901.72</v>
      </c>
      <c r="K64" s="2">
        <v>377896.8</v>
      </c>
      <c r="L64" s="2">
        <v>396791.66</v>
      </c>
      <c r="M64" s="2">
        <v>119037.49</v>
      </c>
      <c r="N64" s="2">
        <v>119037.49</v>
      </c>
      <c r="O64" s="2">
        <v>119037</v>
      </c>
      <c r="P64" s="2">
        <v>119731.875</v>
      </c>
      <c r="Q64" s="2">
        <v>119731.875</v>
      </c>
    </row>
    <row r="65" spans="2:17" x14ac:dyDescent="0.2">
      <c r="B65" s="9"/>
      <c r="C65" s="9" t="s">
        <v>62</v>
      </c>
      <c r="D65" s="9"/>
      <c r="E65" s="9"/>
      <c r="F65" s="3">
        <f t="shared" ref="F65:Q65" si="36">F63+F64</f>
        <v>859200.08000000007</v>
      </c>
      <c r="G65" s="3">
        <f t="shared" si="36"/>
        <v>2864000.24</v>
      </c>
      <c r="H65" s="3">
        <f t="shared" si="36"/>
        <v>2749440.25</v>
      </c>
      <c r="I65" s="3">
        <f t="shared" si="36"/>
        <v>2016256.1099999999</v>
      </c>
      <c r="J65" s="3">
        <f t="shared" si="36"/>
        <v>2117068.89</v>
      </c>
      <c r="K65" s="3">
        <f t="shared" si="36"/>
        <v>2222922.3699999996</v>
      </c>
      <c r="L65" s="3">
        <f t="shared" si="36"/>
        <v>2334068.52</v>
      </c>
      <c r="M65" s="3">
        <f t="shared" si="36"/>
        <v>700220.54999999993</v>
      </c>
      <c r="N65" s="3">
        <f t="shared" si="36"/>
        <v>700220.54999999993</v>
      </c>
      <c r="O65" s="3">
        <f t="shared" si="36"/>
        <v>700220</v>
      </c>
      <c r="P65" s="3">
        <f t="shared" ref="P65" si="37">P63+P64</f>
        <v>704305.13300000003</v>
      </c>
      <c r="Q65" s="3">
        <f t="shared" si="36"/>
        <v>704305.13300000003</v>
      </c>
    </row>
    <row r="66" spans="2:17" x14ac:dyDescent="0.2">
      <c r="B66" s="10" t="s">
        <v>63</v>
      </c>
      <c r="C66" s="10"/>
      <c r="D66" s="10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2:17" x14ac:dyDescent="0.2">
      <c r="B67" s="6"/>
      <c r="C67" s="6" t="s">
        <v>64</v>
      </c>
      <c r="D67" s="6"/>
      <c r="E67" s="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2:17" x14ac:dyDescent="0.2">
      <c r="B68" s="7"/>
      <c r="C68" s="7"/>
      <c r="D68" s="7" t="s">
        <v>65</v>
      </c>
      <c r="E68" s="7"/>
      <c r="F68" s="2">
        <v>184114.3</v>
      </c>
      <c r="G68" s="2">
        <v>613714.30000000005</v>
      </c>
      <c r="H68" s="2">
        <v>589165.75</v>
      </c>
      <c r="I68" s="2">
        <v>432054.88</v>
      </c>
      <c r="J68" s="2">
        <v>453657.62</v>
      </c>
      <c r="K68" s="2">
        <v>476340.5</v>
      </c>
      <c r="L68" s="2">
        <v>500157.53</v>
      </c>
      <c r="M68" s="2">
        <v>150047.26999999999</v>
      </c>
      <c r="N68" s="2">
        <v>150047.26999999999</v>
      </c>
      <c r="O68" s="2">
        <v>150047</v>
      </c>
      <c r="P68" s="2">
        <v>149797.19</v>
      </c>
      <c r="Q68" s="2">
        <v>149797.19</v>
      </c>
    </row>
    <row r="69" spans="2:17" x14ac:dyDescent="0.2">
      <c r="B69" s="7"/>
      <c r="C69" s="7"/>
      <c r="D69" s="7" t="s">
        <v>66</v>
      </c>
      <c r="E69" s="7"/>
      <c r="F69" s="2">
        <v>147291.44</v>
      </c>
      <c r="G69" s="2">
        <v>490971.47</v>
      </c>
      <c r="H69" s="2">
        <v>471332.62</v>
      </c>
      <c r="I69" s="2">
        <v>345643.9</v>
      </c>
      <c r="J69" s="2">
        <v>362926.12</v>
      </c>
      <c r="K69" s="2">
        <v>381072.4</v>
      </c>
      <c r="L69" s="2">
        <v>400126.03</v>
      </c>
      <c r="M69" s="2">
        <v>120037.81</v>
      </c>
      <c r="N69" s="2">
        <v>120037.81</v>
      </c>
      <c r="O69" s="2">
        <v>120038</v>
      </c>
      <c r="P69" s="2">
        <v>119837.75</v>
      </c>
      <c r="Q69" s="2">
        <v>119837.75</v>
      </c>
    </row>
    <row r="70" spans="2:17" x14ac:dyDescent="0.2">
      <c r="B70" s="7"/>
      <c r="C70" s="7"/>
      <c r="D70" s="7" t="s">
        <v>67</v>
      </c>
      <c r="E70" s="7"/>
      <c r="F70" s="2">
        <v>7364.57</v>
      </c>
      <c r="G70" s="2">
        <v>24548.57</v>
      </c>
      <c r="H70" s="2">
        <v>23566.63</v>
      </c>
      <c r="I70" s="2">
        <v>17282.2</v>
      </c>
      <c r="J70" s="2">
        <v>18146.310000000001</v>
      </c>
      <c r="K70" s="2">
        <v>19053.62</v>
      </c>
      <c r="L70" s="2">
        <v>20006.3</v>
      </c>
      <c r="M70" s="2">
        <v>6001.89</v>
      </c>
      <c r="N70" s="2">
        <v>6001.89</v>
      </c>
      <c r="O70" s="2">
        <v>6002</v>
      </c>
      <c r="P70" s="2">
        <v>5991.8867</v>
      </c>
      <c r="Q70" s="2">
        <v>5991.8867</v>
      </c>
    </row>
    <row r="71" spans="2:17" x14ac:dyDescent="0.2">
      <c r="B71" s="7"/>
      <c r="C71" s="7"/>
      <c r="D71" s="7" t="s">
        <v>68</v>
      </c>
      <c r="E71" s="7"/>
      <c r="F71" s="2">
        <v>29458.29</v>
      </c>
      <c r="G71" s="2">
        <v>98194.29</v>
      </c>
      <c r="H71" s="2">
        <v>94266.52</v>
      </c>
      <c r="I71" s="2">
        <v>69128.78</v>
      </c>
      <c r="J71" s="2">
        <v>72585.22</v>
      </c>
      <c r="K71" s="2">
        <v>76214.48</v>
      </c>
      <c r="L71" s="2">
        <v>80025.210000000006</v>
      </c>
      <c r="M71" s="2">
        <v>24007.56</v>
      </c>
      <c r="N71" s="2">
        <v>24007.56</v>
      </c>
      <c r="O71" s="2">
        <v>24008</v>
      </c>
      <c r="P71" s="2">
        <v>23967.546999999999</v>
      </c>
      <c r="Q71" s="2">
        <v>23967.546999999999</v>
      </c>
    </row>
    <row r="72" spans="2:17" x14ac:dyDescent="0.2">
      <c r="B72" s="7"/>
      <c r="C72" s="7"/>
      <c r="D72" s="7" t="s">
        <v>69</v>
      </c>
      <c r="E72" s="7"/>
      <c r="F72" s="2">
        <v>14729.14</v>
      </c>
      <c r="G72" s="2">
        <v>49097.15</v>
      </c>
      <c r="H72" s="2">
        <v>47133.26</v>
      </c>
      <c r="I72" s="2">
        <v>34564.39</v>
      </c>
      <c r="J72" s="2">
        <v>36292.61</v>
      </c>
      <c r="K72" s="2">
        <v>38107.24</v>
      </c>
      <c r="L72" s="2">
        <v>40012.6</v>
      </c>
      <c r="M72" s="2">
        <v>12003.78</v>
      </c>
      <c r="N72" s="2">
        <v>12003.78</v>
      </c>
      <c r="O72" s="2">
        <v>12004</v>
      </c>
      <c r="P72" s="2">
        <v>11983.772999999999</v>
      </c>
      <c r="Q72" s="2">
        <v>11983.772999999999</v>
      </c>
    </row>
    <row r="73" spans="2:17" x14ac:dyDescent="0.2">
      <c r="B73" s="7"/>
      <c r="C73" s="7"/>
      <c r="D73" s="7" t="s">
        <v>70</v>
      </c>
      <c r="E73" s="7"/>
      <c r="F73" s="2">
        <v>51552</v>
      </c>
      <c r="G73" s="2">
        <v>171840.02</v>
      </c>
      <c r="H73" s="2">
        <v>164966.39999999999</v>
      </c>
      <c r="I73" s="2">
        <v>120975.37</v>
      </c>
      <c r="J73" s="2">
        <v>127024.14</v>
      </c>
      <c r="K73" s="2">
        <v>133375.34</v>
      </c>
      <c r="L73" s="2">
        <v>140044.10999999999</v>
      </c>
      <c r="M73" s="2">
        <v>42013.23</v>
      </c>
      <c r="N73" s="2">
        <v>42013.23</v>
      </c>
      <c r="O73" s="2">
        <v>42013</v>
      </c>
      <c r="P73" s="2">
        <v>41943.207000000002</v>
      </c>
      <c r="Q73" s="2">
        <v>41943.207000000002</v>
      </c>
    </row>
    <row r="74" spans="2:17" x14ac:dyDescent="0.2">
      <c r="B74" s="7"/>
      <c r="C74" s="7"/>
      <c r="D74" s="7" t="s">
        <v>71</v>
      </c>
      <c r="E74" s="7"/>
      <c r="F74" s="2">
        <v>1000000</v>
      </c>
      <c r="G74" s="2">
        <v>1000000</v>
      </c>
      <c r="H74" s="2">
        <v>1000000</v>
      </c>
      <c r="I74" s="2">
        <v>1000000</v>
      </c>
      <c r="J74" s="2">
        <v>1000000</v>
      </c>
      <c r="K74" s="2">
        <v>1000000</v>
      </c>
      <c r="L74" s="2">
        <v>1000000</v>
      </c>
      <c r="M74" s="2">
        <v>1000000</v>
      </c>
      <c r="N74" s="2">
        <v>1000000</v>
      </c>
      <c r="O74" s="2">
        <v>1000000</v>
      </c>
      <c r="P74" s="2">
        <v>998333.3</v>
      </c>
      <c r="Q74" s="2">
        <v>998333.3</v>
      </c>
    </row>
    <row r="75" spans="2:17" x14ac:dyDescent="0.2">
      <c r="B75" s="7"/>
      <c r="C75" s="7"/>
      <c r="D75" s="7" t="s">
        <v>72</v>
      </c>
      <c r="E75" s="7"/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</row>
    <row r="76" spans="2:17" x14ac:dyDescent="0.2">
      <c r="B76" s="8"/>
      <c r="C76" s="8"/>
      <c r="D76" s="8" t="s">
        <v>73</v>
      </c>
      <c r="E76" s="8"/>
      <c r="F76" s="3">
        <f t="shared" ref="F76:Q76" si="38">F68+F69+F70+F71+F72+F73+F74+F75</f>
        <v>1434509.74</v>
      </c>
      <c r="G76" s="3">
        <f t="shared" si="38"/>
        <v>2448365.7999999998</v>
      </c>
      <c r="H76" s="3">
        <f t="shared" si="38"/>
        <v>2390431.1799999997</v>
      </c>
      <c r="I76" s="3">
        <f t="shared" si="38"/>
        <v>2019649.52</v>
      </c>
      <c r="J76" s="3">
        <f t="shared" si="38"/>
        <v>2070632.02</v>
      </c>
      <c r="K76" s="3">
        <f t="shared" si="38"/>
        <v>2124163.58</v>
      </c>
      <c r="L76" s="3">
        <f t="shared" si="38"/>
        <v>2180371.7800000003</v>
      </c>
      <c r="M76" s="3">
        <f t="shared" si="38"/>
        <v>1354111.54</v>
      </c>
      <c r="N76" s="3">
        <f t="shared" si="38"/>
        <v>1354111.54</v>
      </c>
      <c r="O76" s="3">
        <f t="shared" si="38"/>
        <v>1354112</v>
      </c>
      <c r="P76" s="3">
        <f t="shared" ref="P76" si="39">P68+P69+P70+P71+P72+P73+P74+P75</f>
        <v>1351854.6537000001</v>
      </c>
      <c r="Q76" s="3">
        <f t="shared" si="38"/>
        <v>1351854.6537000001</v>
      </c>
    </row>
    <row r="77" spans="2:17" x14ac:dyDescent="0.2">
      <c r="B77" s="6"/>
      <c r="C77" s="6" t="s">
        <v>74</v>
      </c>
      <c r="D77" s="6"/>
      <c r="E77" s="6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2.91038304567337E-11</v>
      </c>
      <c r="Q77" s="2">
        <v>2.91038304567337E-11</v>
      </c>
    </row>
    <row r="78" spans="2:17" x14ac:dyDescent="0.2">
      <c r="B78" s="7"/>
      <c r="C78" s="7"/>
      <c r="D78" s="7" t="s">
        <v>75</v>
      </c>
      <c r="E78" s="7"/>
      <c r="F78" s="2">
        <v>36822.86</v>
      </c>
      <c r="G78" s="2">
        <v>122742.87</v>
      </c>
      <c r="H78" s="2">
        <v>117833.15</v>
      </c>
      <c r="I78" s="2">
        <v>86410.98</v>
      </c>
      <c r="J78" s="2">
        <v>90731.53</v>
      </c>
      <c r="K78" s="2">
        <v>95268.1</v>
      </c>
      <c r="L78" s="2">
        <v>100031.51</v>
      </c>
      <c r="M78" s="2">
        <v>30009.45</v>
      </c>
      <c r="N78" s="2">
        <v>30009.45</v>
      </c>
      <c r="O78" s="2">
        <v>30009</v>
      </c>
      <c r="P78" s="2">
        <v>29959.434000000001</v>
      </c>
      <c r="Q78" s="2">
        <v>29959.434000000001</v>
      </c>
    </row>
    <row r="79" spans="2:17" x14ac:dyDescent="0.2">
      <c r="B79" s="7"/>
      <c r="C79" s="7"/>
      <c r="D79" s="7" t="s">
        <v>76</v>
      </c>
      <c r="E79" s="7"/>
      <c r="F79" s="2">
        <v>29458.29</v>
      </c>
      <c r="G79" s="2">
        <v>98194.29</v>
      </c>
      <c r="H79" s="2">
        <v>94266.52</v>
      </c>
      <c r="I79" s="2">
        <v>69128.78</v>
      </c>
      <c r="J79" s="2">
        <v>72585.22</v>
      </c>
      <c r="K79" s="2">
        <v>76214.48</v>
      </c>
      <c r="L79" s="2">
        <v>80025.210000000006</v>
      </c>
      <c r="M79" s="2">
        <v>24007.56</v>
      </c>
      <c r="N79" s="2">
        <v>24007.56</v>
      </c>
      <c r="O79" s="2">
        <v>24008</v>
      </c>
      <c r="P79" s="2">
        <v>23967.546999999999</v>
      </c>
      <c r="Q79" s="2">
        <v>23967.546999999999</v>
      </c>
    </row>
    <row r="80" spans="2:17" x14ac:dyDescent="0.2">
      <c r="B80" s="7"/>
      <c r="C80" s="7"/>
      <c r="D80" s="7" t="s">
        <v>77</v>
      </c>
      <c r="E80" s="7"/>
      <c r="F80" s="2">
        <v>29458.29</v>
      </c>
      <c r="G80" s="2">
        <v>98194.29</v>
      </c>
      <c r="H80" s="2">
        <v>94266.52</v>
      </c>
      <c r="I80" s="2">
        <v>69128.78</v>
      </c>
      <c r="J80" s="2">
        <v>72585.22</v>
      </c>
      <c r="K80" s="2">
        <v>76214.48</v>
      </c>
      <c r="L80" s="2">
        <v>80025.210000000006</v>
      </c>
      <c r="M80" s="2">
        <v>24007.56</v>
      </c>
      <c r="N80" s="2">
        <v>24007.56</v>
      </c>
      <c r="O80" s="2">
        <v>24008</v>
      </c>
      <c r="P80" s="2">
        <v>23967.546999999999</v>
      </c>
      <c r="Q80" s="2">
        <v>23967.546999999999</v>
      </c>
    </row>
    <row r="81" spans="2:17" x14ac:dyDescent="0.2">
      <c r="B81" s="7"/>
      <c r="C81" s="7"/>
      <c r="D81" s="7" t="s">
        <v>78</v>
      </c>
      <c r="E81" s="7"/>
      <c r="F81" s="2">
        <v>14729.14</v>
      </c>
      <c r="G81" s="2">
        <v>49097.15</v>
      </c>
      <c r="H81" s="2">
        <v>47133.26</v>
      </c>
      <c r="I81" s="2">
        <v>34564.39</v>
      </c>
      <c r="J81" s="2">
        <v>36292.61</v>
      </c>
      <c r="K81" s="2">
        <v>38107.24</v>
      </c>
      <c r="L81" s="2">
        <v>40012.6</v>
      </c>
      <c r="M81" s="2">
        <v>12003.78</v>
      </c>
      <c r="N81" s="2">
        <v>12003.78</v>
      </c>
      <c r="O81" s="2">
        <v>12004</v>
      </c>
      <c r="P81" s="2">
        <v>11983.772999999999</v>
      </c>
      <c r="Q81" s="2">
        <v>11983.772999999999</v>
      </c>
    </row>
    <row r="82" spans="2:17" x14ac:dyDescent="0.2">
      <c r="B82" s="7"/>
      <c r="C82" s="7"/>
      <c r="D82" s="7" t="s">
        <v>79</v>
      </c>
      <c r="E82" s="7"/>
      <c r="F82" s="2">
        <v>3682.29</v>
      </c>
      <c r="G82" s="2">
        <v>12274.29</v>
      </c>
      <c r="H82" s="2">
        <v>11783.32</v>
      </c>
      <c r="I82" s="2">
        <v>8641.1</v>
      </c>
      <c r="J82" s="2">
        <v>9073.15</v>
      </c>
      <c r="K82" s="2">
        <v>9526.81</v>
      </c>
      <c r="L82" s="2">
        <v>10003.15</v>
      </c>
      <c r="M82" s="2">
        <v>3000.95</v>
      </c>
      <c r="N82" s="2">
        <v>3000.95</v>
      </c>
      <c r="O82" s="2">
        <v>3001</v>
      </c>
      <c r="P82" s="2">
        <v>2995.9485</v>
      </c>
      <c r="Q82" s="2">
        <v>2995.9485</v>
      </c>
    </row>
    <row r="83" spans="2:17" x14ac:dyDescent="0.2">
      <c r="B83" s="7"/>
      <c r="C83" s="7"/>
      <c r="D83" s="7" t="s">
        <v>80</v>
      </c>
      <c r="E83" s="7"/>
      <c r="F83" s="2">
        <v>18411.43</v>
      </c>
      <c r="G83" s="2">
        <v>61371.43</v>
      </c>
      <c r="H83" s="2">
        <v>58916.58</v>
      </c>
      <c r="I83" s="2">
        <v>43205.49</v>
      </c>
      <c r="J83" s="2">
        <v>45365.760000000002</v>
      </c>
      <c r="K83" s="2">
        <v>47634.05</v>
      </c>
      <c r="L83" s="2">
        <v>50015.75</v>
      </c>
      <c r="M83" s="2">
        <v>15004.73</v>
      </c>
      <c r="N83" s="2">
        <v>15004.73</v>
      </c>
      <c r="O83" s="2">
        <v>15005</v>
      </c>
      <c r="P83" s="2">
        <v>14979.722</v>
      </c>
      <c r="Q83" s="2">
        <v>14979.722</v>
      </c>
    </row>
    <row r="84" spans="2:17" x14ac:dyDescent="0.2">
      <c r="B84" s="7"/>
      <c r="C84" s="7"/>
      <c r="D84" s="7" t="s">
        <v>81</v>
      </c>
      <c r="E84" s="7"/>
      <c r="F84" s="2">
        <v>3682.29</v>
      </c>
      <c r="G84" s="2">
        <v>12274.29</v>
      </c>
      <c r="H84" s="2">
        <v>11783.32</v>
      </c>
      <c r="I84" s="2">
        <v>8641.1</v>
      </c>
      <c r="J84" s="2">
        <v>9073.15</v>
      </c>
      <c r="K84" s="2">
        <v>9526.81</v>
      </c>
      <c r="L84" s="2">
        <v>10003.15</v>
      </c>
      <c r="M84" s="2">
        <v>3000.95</v>
      </c>
      <c r="N84" s="2">
        <v>3000.95</v>
      </c>
      <c r="O84" s="2">
        <v>3001</v>
      </c>
      <c r="P84" s="2">
        <v>2995.9485</v>
      </c>
      <c r="Q84" s="2">
        <v>2995.9485</v>
      </c>
    </row>
    <row r="85" spans="2:17" x14ac:dyDescent="0.2">
      <c r="B85" s="7"/>
      <c r="C85" s="7"/>
      <c r="D85" s="7" t="s">
        <v>82</v>
      </c>
      <c r="E85" s="7"/>
      <c r="F85" s="2">
        <v>2209.37</v>
      </c>
      <c r="G85" s="2">
        <v>7364.57</v>
      </c>
      <c r="H85" s="2">
        <v>7069.99</v>
      </c>
      <c r="I85" s="2">
        <v>5184.66</v>
      </c>
      <c r="J85" s="2">
        <v>5443.89</v>
      </c>
      <c r="K85" s="2">
        <v>5716.09</v>
      </c>
      <c r="L85" s="2">
        <v>6001.89</v>
      </c>
      <c r="M85" s="2">
        <v>1800.57</v>
      </c>
      <c r="N85" s="2">
        <v>1800.57</v>
      </c>
      <c r="O85" s="2">
        <v>1801</v>
      </c>
      <c r="P85" s="2">
        <v>1797.5690999999999</v>
      </c>
      <c r="Q85" s="2">
        <v>1797.5690999999999</v>
      </c>
    </row>
    <row r="86" spans="2:17" x14ac:dyDescent="0.2">
      <c r="B86" s="8"/>
      <c r="C86" s="8"/>
      <c r="D86" s="8" t="s">
        <v>83</v>
      </c>
      <c r="E86" s="8"/>
      <c r="F86" s="3">
        <f t="shared" ref="F86:Q86" si="40">F78+F79+F80+F81+F82+F83+F84+F85</f>
        <v>138453.96</v>
      </c>
      <c r="G86" s="3">
        <f t="shared" si="40"/>
        <v>461513.17999999993</v>
      </c>
      <c r="H86" s="3">
        <f t="shared" si="40"/>
        <v>443052.66000000003</v>
      </c>
      <c r="I86" s="3">
        <f t="shared" si="40"/>
        <v>324905.27999999991</v>
      </c>
      <c r="J86" s="3">
        <f t="shared" si="40"/>
        <v>341150.53000000009</v>
      </c>
      <c r="K86" s="3">
        <f t="shared" si="40"/>
        <v>358208.06</v>
      </c>
      <c r="L86" s="3">
        <f t="shared" si="40"/>
        <v>376118.47000000003</v>
      </c>
      <c r="M86" s="3">
        <f t="shared" si="40"/>
        <v>112835.55</v>
      </c>
      <c r="N86" s="3">
        <f t="shared" si="40"/>
        <v>112835.55</v>
      </c>
      <c r="O86" s="3">
        <f t="shared" si="40"/>
        <v>112837</v>
      </c>
      <c r="P86" s="3">
        <f t="shared" ref="P86" si="41">P78+P79+P80+P81+P82+P83+P84+P85</f>
        <v>112647.48909999998</v>
      </c>
      <c r="Q86" s="3">
        <f t="shared" si="40"/>
        <v>112647.48909999998</v>
      </c>
    </row>
    <row r="87" spans="2:17" x14ac:dyDescent="0.2">
      <c r="B87" s="6"/>
      <c r="C87" s="6" t="s">
        <v>84</v>
      </c>
      <c r="D87" s="6"/>
      <c r="E87" s="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 x14ac:dyDescent="0.2">
      <c r="B88" s="7"/>
      <c r="C88" s="7"/>
      <c r="D88" s="7" t="s">
        <v>85</v>
      </c>
      <c r="E88" s="7"/>
      <c r="F88" s="2">
        <v>163493.5</v>
      </c>
      <c r="G88" s="2">
        <v>544978.30000000005</v>
      </c>
      <c r="H88" s="2">
        <v>523179.2</v>
      </c>
      <c r="I88" s="2">
        <v>383664.75</v>
      </c>
      <c r="J88" s="2">
        <v>402847.97</v>
      </c>
      <c r="K88" s="2">
        <v>422990.38</v>
      </c>
      <c r="L88" s="2">
        <v>444139.9</v>
      </c>
      <c r="M88" s="2">
        <v>133241.97</v>
      </c>
      <c r="N88" s="2">
        <v>133241.97</v>
      </c>
      <c r="O88" s="2">
        <v>133242</v>
      </c>
      <c r="P88" s="2">
        <v>133019.9</v>
      </c>
      <c r="Q88" s="2">
        <v>133019.9</v>
      </c>
    </row>
    <row r="89" spans="2:17" x14ac:dyDescent="0.2">
      <c r="B89" s="8"/>
      <c r="C89" s="8"/>
      <c r="D89" s="8" t="s">
        <v>86</v>
      </c>
      <c r="E89" s="8"/>
      <c r="F89" s="3">
        <f t="shared" ref="F89:N89" si="42">F88</f>
        <v>163493.5</v>
      </c>
      <c r="G89" s="3">
        <f t="shared" si="42"/>
        <v>544978.30000000005</v>
      </c>
      <c r="H89" s="3">
        <f t="shared" si="42"/>
        <v>523179.2</v>
      </c>
      <c r="I89" s="3">
        <f t="shared" si="42"/>
        <v>383664.75</v>
      </c>
      <c r="J89" s="3">
        <f t="shared" si="42"/>
        <v>402847.97</v>
      </c>
      <c r="K89" s="3">
        <f t="shared" si="42"/>
        <v>422990.38</v>
      </c>
      <c r="L89" s="3">
        <f t="shared" si="42"/>
        <v>444139.9</v>
      </c>
      <c r="M89" s="3">
        <f t="shared" si="42"/>
        <v>133241.97</v>
      </c>
      <c r="N89" s="3">
        <f t="shared" si="42"/>
        <v>133241.97</v>
      </c>
      <c r="O89" s="3">
        <f t="shared" ref="O89:Q89" si="43">O88</f>
        <v>133242</v>
      </c>
      <c r="P89" s="3">
        <f t="shared" ref="P89" si="44">P88</f>
        <v>133019.9</v>
      </c>
      <c r="Q89" s="3">
        <f t="shared" si="43"/>
        <v>133019.9</v>
      </c>
    </row>
    <row r="90" spans="2:17" x14ac:dyDescent="0.2">
      <c r="B90" s="9" t="s">
        <v>87</v>
      </c>
      <c r="C90" s="9"/>
      <c r="E90" s="9"/>
      <c r="F90" s="3">
        <f t="shared" ref="F90:N90" si="45">F76+F86+F89</f>
        <v>1736457.2</v>
      </c>
      <c r="G90" s="3">
        <f t="shared" si="45"/>
        <v>3454857.2799999993</v>
      </c>
      <c r="H90" s="3">
        <f t="shared" si="45"/>
        <v>3356663.04</v>
      </c>
      <c r="I90" s="3">
        <f t="shared" si="45"/>
        <v>2728219.55</v>
      </c>
      <c r="J90" s="3">
        <f t="shared" si="45"/>
        <v>2814630.5200000005</v>
      </c>
      <c r="K90" s="3">
        <f t="shared" si="45"/>
        <v>2905362.02</v>
      </c>
      <c r="L90" s="3">
        <f t="shared" si="45"/>
        <v>3000630.1500000004</v>
      </c>
      <c r="M90" s="3">
        <f t="shared" si="45"/>
        <v>1600189.06</v>
      </c>
      <c r="N90" s="3">
        <f t="shared" si="45"/>
        <v>1600189.06</v>
      </c>
      <c r="O90" s="3">
        <f t="shared" ref="O90:Q90" si="46">O76+O86+O89</f>
        <v>1600191</v>
      </c>
      <c r="P90" s="3">
        <f t="shared" ref="P90" si="47">P76+P86+P89</f>
        <v>1597522.0427999999</v>
      </c>
      <c r="Q90" s="3">
        <f t="shared" si="46"/>
        <v>1597522.0427999999</v>
      </c>
    </row>
    <row r="91" spans="2:17" x14ac:dyDescent="0.2">
      <c r="B91" s="11" t="s">
        <v>88</v>
      </c>
      <c r="C91" s="11"/>
      <c r="D91" s="11"/>
      <c r="E91" s="11"/>
      <c r="F91" s="3">
        <f t="shared" ref="F91:N91" si="48">F65+F90</f>
        <v>2595657.2800000003</v>
      </c>
      <c r="G91" s="3">
        <f t="shared" si="48"/>
        <v>6318857.5199999996</v>
      </c>
      <c r="H91" s="3">
        <f t="shared" si="48"/>
        <v>6106103.29</v>
      </c>
      <c r="I91" s="3">
        <f t="shared" si="48"/>
        <v>4744475.66</v>
      </c>
      <c r="J91" s="3">
        <f t="shared" si="48"/>
        <v>4931699.41</v>
      </c>
      <c r="K91" s="3">
        <f t="shared" si="48"/>
        <v>5128284.3899999997</v>
      </c>
      <c r="L91" s="3">
        <f t="shared" si="48"/>
        <v>5334698.67</v>
      </c>
      <c r="M91" s="3">
        <f t="shared" si="48"/>
        <v>2300409.61</v>
      </c>
      <c r="N91" s="3">
        <f t="shared" si="48"/>
        <v>2300409.61</v>
      </c>
      <c r="O91" s="3">
        <f t="shared" ref="O91:Q91" si="49">O65+O90</f>
        <v>2300411</v>
      </c>
      <c r="P91" s="3">
        <f t="shared" ref="P91" si="50">P65+P90</f>
        <v>2301827.1757999999</v>
      </c>
      <c r="Q91" s="3">
        <f t="shared" si="49"/>
        <v>2301827.1757999999</v>
      </c>
    </row>
    <row r="92" spans="2:17" x14ac:dyDescent="0.2">
      <c r="B92" s="10" t="s">
        <v>89</v>
      </c>
      <c r="C92" s="10"/>
      <c r="D92" s="10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2:17" x14ac:dyDescent="0.2">
      <c r="B93" s="6"/>
      <c r="C93" s="6" t="s">
        <v>90</v>
      </c>
      <c r="D93" s="6"/>
      <c r="E93" s="6"/>
      <c r="F93" s="2">
        <v>150000</v>
      </c>
      <c r="G93" s="2">
        <v>150000</v>
      </c>
      <c r="H93" s="2">
        <v>150000</v>
      </c>
      <c r="I93" s="2">
        <v>150000</v>
      </c>
      <c r="J93" s="2">
        <v>150000</v>
      </c>
      <c r="K93" s="2">
        <v>150000</v>
      </c>
      <c r="L93" s="2">
        <v>150000</v>
      </c>
      <c r="M93" s="2">
        <v>150000</v>
      </c>
      <c r="N93" s="2">
        <v>150000</v>
      </c>
      <c r="O93" s="2">
        <v>150000</v>
      </c>
      <c r="P93" s="2">
        <v>151875</v>
      </c>
      <c r="Q93" s="2">
        <v>151875</v>
      </c>
    </row>
    <row r="94" spans="2:17" x14ac:dyDescent="0.2">
      <c r="B94" s="6"/>
      <c r="C94" s="6" t="s">
        <v>91</v>
      </c>
      <c r="D94" s="6"/>
      <c r="E94" s="6"/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</row>
    <row r="95" spans="2:17" x14ac:dyDescent="0.2">
      <c r="B95" s="6"/>
      <c r="C95" s="6" t="s">
        <v>92</v>
      </c>
      <c r="D95" s="6"/>
      <c r="E95" s="6"/>
      <c r="F95" s="2">
        <v>2750000</v>
      </c>
      <c r="G95" s="2">
        <v>2666666.7999999998</v>
      </c>
      <c r="H95" s="2">
        <v>2583333.2000000002</v>
      </c>
      <c r="I95" s="2">
        <v>2500000</v>
      </c>
      <c r="J95" s="2">
        <v>2416666.7999999998</v>
      </c>
      <c r="K95" s="2">
        <v>2333333.2000000002</v>
      </c>
      <c r="L95" s="2">
        <v>2250000</v>
      </c>
      <c r="M95" s="2">
        <v>2166666.7999999998</v>
      </c>
      <c r="N95" s="2">
        <v>2083333.4</v>
      </c>
      <c r="O95" s="2">
        <v>2000000</v>
      </c>
      <c r="P95" s="2">
        <v>2025000</v>
      </c>
      <c r="Q95" s="2">
        <v>2025000</v>
      </c>
    </row>
    <row r="96" spans="2:17" x14ac:dyDescent="0.2">
      <c r="B96" s="6"/>
      <c r="C96" s="6" t="s">
        <v>93</v>
      </c>
      <c r="D96" s="6"/>
      <c r="E96" s="6"/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</row>
    <row r="97" spans="1:17" x14ac:dyDescent="0.2">
      <c r="B97" s="9"/>
      <c r="C97" s="9" t="s">
        <v>94</v>
      </c>
      <c r="D97" s="9"/>
      <c r="E97" s="9"/>
      <c r="F97" s="3">
        <f t="shared" ref="F97:Q97" si="51">F93+F94+F95+F96</f>
        <v>2900000</v>
      </c>
      <c r="G97" s="3">
        <f t="shared" si="51"/>
        <v>2816666.8</v>
      </c>
      <c r="H97" s="3">
        <f t="shared" si="51"/>
        <v>2733333.2</v>
      </c>
      <c r="I97" s="3">
        <f t="shared" si="51"/>
        <v>2650000</v>
      </c>
      <c r="J97" s="3">
        <f t="shared" si="51"/>
        <v>2566666.7999999998</v>
      </c>
      <c r="K97" s="3">
        <f t="shared" si="51"/>
        <v>2483333.2000000002</v>
      </c>
      <c r="L97" s="3">
        <f t="shared" si="51"/>
        <v>2400000</v>
      </c>
      <c r="M97" s="3">
        <f t="shared" si="51"/>
        <v>2316666.7999999998</v>
      </c>
      <c r="N97" s="3">
        <f t="shared" si="51"/>
        <v>2233333.4</v>
      </c>
      <c r="O97" s="3">
        <f t="shared" si="51"/>
        <v>2150000</v>
      </c>
      <c r="P97" s="3">
        <f t="shared" ref="P97" si="52">P93+P94+P95+P96</f>
        <v>2176875</v>
      </c>
      <c r="Q97" s="3">
        <f t="shared" si="51"/>
        <v>2176875</v>
      </c>
    </row>
    <row r="98" spans="1:17" x14ac:dyDescent="0.2">
      <c r="B98" s="6" t="s">
        <v>95</v>
      </c>
      <c r="C98" s="6"/>
      <c r="D98" s="6"/>
      <c r="E98" s="6"/>
      <c r="F98" s="2">
        <v>30000</v>
      </c>
      <c r="G98" s="2">
        <v>30000</v>
      </c>
      <c r="H98" s="2">
        <v>30000</v>
      </c>
      <c r="I98" s="2">
        <v>30000</v>
      </c>
      <c r="J98" s="2">
        <v>30000</v>
      </c>
      <c r="K98" s="2">
        <v>30000</v>
      </c>
      <c r="L98" s="2">
        <v>30000</v>
      </c>
      <c r="M98" s="2">
        <v>30000</v>
      </c>
      <c r="N98" s="2">
        <v>30000</v>
      </c>
      <c r="O98" s="2">
        <v>30000</v>
      </c>
      <c r="P98" s="2">
        <v>30000</v>
      </c>
      <c r="Q98" s="2">
        <v>30000</v>
      </c>
    </row>
    <row r="99" spans="1:17" x14ac:dyDescent="0.2">
      <c r="B99" s="9" t="s">
        <v>96</v>
      </c>
      <c r="C99" s="9"/>
      <c r="D99" s="9"/>
      <c r="E99" s="9"/>
      <c r="F99" s="3">
        <f t="shared" ref="F99:N99" si="53">F98</f>
        <v>30000</v>
      </c>
      <c r="G99" s="3">
        <f t="shared" si="53"/>
        <v>30000</v>
      </c>
      <c r="H99" s="3">
        <f t="shared" si="53"/>
        <v>30000</v>
      </c>
      <c r="I99" s="3">
        <f t="shared" si="53"/>
        <v>30000</v>
      </c>
      <c r="J99" s="3">
        <f t="shared" si="53"/>
        <v>30000</v>
      </c>
      <c r="K99" s="3">
        <f t="shared" si="53"/>
        <v>30000</v>
      </c>
      <c r="L99" s="3">
        <f t="shared" si="53"/>
        <v>30000</v>
      </c>
      <c r="M99" s="3">
        <f t="shared" si="53"/>
        <v>30000</v>
      </c>
      <c r="N99" s="3">
        <f t="shared" si="53"/>
        <v>30000</v>
      </c>
      <c r="O99" s="3">
        <f t="shared" ref="O99:Q99" si="54">O98</f>
        <v>30000</v>
      </c>
      <c r="P99" s="3">
        <f t="shared" ref="P99" si="55">P98</f>
        <v>30000</v>
      </c>
      <c r="Q99" s="3">
        <f t="shared" si="54"/>
        <v>30000</v>
      </c>
    </row>
    <row r="100" spans="1:17" x14ac:dyDescent="0.2">
      <c r="B100" s="11" t="s">
        <v>97</v>
      </c>
      <c r="C100" s="11"/>
      <c r="D100" s="11"/>
      <c r="E100" s="11"/>
      <c r="F100" s="3">
        <f t="shared" ref="F100:N100" si="56">F97+F99</f>
        <v>2930000</v>
      </c>
      <c r="G100" s="3">
        <f t="shared" si="56"/>
        <v>2846666.8</v>
      </c>
      <c r="H100" s="3">
        <f t="shared" si="56"/>
        <v>2763333.2</v>
      </c>
      <c r="I100" s="3">
        <f t="shared" si="56"/>
        <v>2680000</v>
      </c>
      <c r="J100" s="3">
        <f t="shared" si="56"/>
        <v>2596666.7999999998</v>
      </c>
      <c r="K100" s="3">
        <f t="shared" si="56"/>
        <v>2513333.2000000002</v>
      </c>
      <c r="L100" s="3">
        <f t="shared" si="56"/>
        <v>2430000</v>
      </c>
      <c r="M100" s="3">
        <f t="shared" si="56"/>
        <v>2346666.7999999998</v>
      </c>
      <c r="N100" s="3">
        <f t="shared" si="56"/>
        <v>2263333.4</v>
      </c>
      <c r="O100" s="3">
        <f t="shared" ref="O100:Q100" si="57">O97+O99</f>
        <v>2180000</v>
      </c>
      <c r="P100" s="3">
        <f t="shared" ref="P100" si="58">P97+P99</f>
        <v>2206875</v>
      </c>
      <c r="Q100" s="3">
        <f t="shared" si="57"/>
        <v>2206875</v>
      </c>
    </row>
    <row r="101" spans="1:17" x14ac:dyDescent="0.2">
      <c r="A101" s="12" t="s">
        <v>98</v>
      </c>
      <c r="C101" s="12"/>
      <c r="D101" s="12"/>
      <c r="E101" s="12"/>
      <c r="F101" s="3">
        <f t="shared" ref="F101:N101" si="59">F91+F100</f>
        <v>5525657.2800000003</v>
      </c>
      <c r="G101" s="3">
        <f t="shared" si="59"/>
        <v>9165524.3200000003</v>
      </c>
      <c r="H101" s="3">
        <f t="shared" si="59"/>
        <v>8869436.4900000002</v>
      </c>
      <c r="I101" s="3">
        <f t="shared" si="59"/>
        <v>7424475.6600000001</v>
      </c>
      <c r="J101" s="3">
        <f t="shared" si="59"/>
        <v>7528366.21</v>
      </c>
      <c r="K101" s="3">
        <f t="shared" si="59"/>
        <v>7641617.5899999999</v>
      </c>
      <c r="L101" s="3">
        <f t="shared" si="59"/>
        <v>7764698.6699999999</v>
      </c>
      <c r="M101" s="3">
        <f t="shared" si="59"/>
        <v>4647076.41</v>
      </c>
      <c r="N101" s="3">
        <f t="shared" si="59"/>
        <v>4563743.01</v>
      </c>
      <c r="O101" s="3">
        <f t="shared" ref="O101:Q101" si="60">O91+O100</f>
        <v>4480411</v>
      </c>
      <c r="P101" s="3">
        <f t="shared" ref="P101" si="61">P91+P100</f>
        <v>4508702.1757999994</v>
      </c>
      <c r="Q101" s="3">
        <f t="shared" si="60"/>
        <v>4508702.1757999994</v>
      </c>
    </row>
    <row r="102" spans="1:17" x14ac:dyDescent="0.2">
      <c r="A102" s="4" t="s">
        <v>99</v>
      </c>
      <c r="B102" s="4"/>
      <c r="C102" s="4"/>
      <c r="D102" s="4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B103" s="5" t="s">
        <v>100</v>
      </c>
      <c r="C103" s="5"/>
      <c r="D103" s="5"/>
      <c r="E103" s="5"/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</row>
    <row r="104" spans="1:17" x14ac:dyDescent="0.2">
      <c r="B104" s="5" t="s">
        <v>101</v>
      </c>
      <c r="C104" s="5"/>
      <c r="D104" s="5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B105" s="5" t="s">
        <v>102</v>
      </c>
      <c r="C105" s="5"/>
      <c r="D105" s="5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B106" s="10"/>
      <c r="C106" s="10" t="s">
        <v>103</v>
      </c>
      <c r="D106" s="10"/>
      <c r="E106" s="10"/>
      <c r="F106" s="2">
        <v>4818178</v>
      </c>
      <c r="G106" s="2">
        <v>4818178</v>
      </c>
      <c r="H106" s="2">
        <v>4818178</v>
      </c>
      <c r="I106" s="2">
        <v>4818178</v>
      </c>
      <c r="J106" s="2">
        <v>4818178</v>
      </c>
      <c r="K106" s="2">
        <v>4818178</v>
      </c>
      <c r="L106" s="2">
        <v>4818178</v>
      </c>
      <c r="M106" s="2">
        <v>4818178</v>
      </c>
      <c r="N106" s="2">
        <v>4818178</v>
      </c>
      <c r="O106" s="2">
        <v>4818178</v>
      </c>
      <c r="P106" s="2">
        <v>7589165.5</v>
      </c>
      <c r="Q106" s="2">
        <v>7589165.5</v>
      </c>
    </row>
    <row r="107" spans="1:17" x14ac:dyDescent="0.2">
      <c r="B107" s="11"/>
      <c r="C107" s="11" t="s">
        <v>104</v>
      </c>
      <c r="D107" s="11"/>
      <c r="E107" s="11"/>
      <c r="F107" s="3">
        <f t="shared" ref="F107:Q107" si="62">F103+F104+F105+F106</f>
        <v>4818178</v>
      </c>
      <c r="G107" s="3">
        <f t="shared" si="62"/>
        <v>4818178</v>
      </c>
      <c r="H107" s="3">
        <f t="shared" si="62"/>
        <v>4818178</v>
      </c>
      <c r="I107" s="3">
        <f t="shared" si="62"/>
        <v>4818178</v>
      </c>
      <c r="J107" s="3">
        <f t="shared" si="62"/>
        <v>4818178</v>
      </c>
      <c r="K107" s="3">
        <f t="shared" si="62"/>
        <v>4818178</v>
      </c>
      <c r="L107" s="3">
        <f t="shared" si="62"/>
        <v>4818178</v>
      </c>
      <c r="M107" s="3">
        <f t="shared" si="62"/>
        <v>4818178</v>
      </c>
      <c r="N107" s="3">
        <f t="shared" si="62"/>
        <v>4818178</v>
      </c>
      <c r="O107" s="3">
        <f t="shared" si="62"/>
        <v>4818178</v>
      </c>
      <c r="P107" s="3">
        <f t="shared" ref="P107" si="63">P103+P104+P105+P106</f>
        <v>7589165.5</v>
      </c>
      <c r="Q107" s="3">
        <f t="shared" si="62"/>
        <v>7589165.5</v>
      </c>
    </row>
    <row r="108" spans="1:17" x14ac:dyDescent="0.2">
      <c r="B108" s="10" t="s">
        <v>105</v>
      </c>
      <c r="C108" s="10"/>
      <c r="D108" s="10"/>
      <c r="E108" s="10"/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</row>
    <row r="109" spans="1:17" x14ac:dyDescent="0.2">
      <c r="B109" s="10" t="s">
        <v>106</v>
      </c>
      <c r="C109" s="10"/>
      <c r="D109" s="10"/>
      <c r="E109" s="10"/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</row>
    <row r="110" spans="1:17" x14ac:dyDescent="0.2">
      <c r="B110" s="10" t="s">
        <v>107</v>
      </c>
      <c r="C110" s="10"/>
      <c r="D110" s="10"/>
      <c r="E110" s="1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B111" s="6"/>
      <c r="C111" s="6" t="s">
        <v>108</v>
      </c>
      <c r="D111" s="6"/>
      <c r="E111" s="6"/>
      <c r="F111" s="2">
        <v>500000</v>
      </c>
      <c r="G111" s="2">
        <v>500000</v>
      </c>
      <c r="H111" s="2">
        <v>500000</v>
      </c>
      <c r="I111" s="2">
        <v>500000</v>
      </c>
      <c r="J111" s="2">
        <v>500000</v>
      </c>
      <c r="K111" s="2">
        <v>500000</v>
      </c>
      <c r="L111" s="2">
        <v>500000</v>
      </c>
      <c r="M111" s="2">
        <v>500000</v>
      </c>
      <c r="N111" s="2">
        <v>500000</v>
      </c>
      <c r="O111" s="2">
        <v>500000</v>
      </c>
      <c r="P111" s="2">
        <v>500000</v>
      </c>
      <c r="Q111" s="2">
        <v>500000</v>
      </c>
    </row>
    <row r="112" spans="1:17" x14ac:dyDescent="0.2">
      <c r="B112" s="9"/>
      <c r="C112" s="9" t="s">
        <v>109</v>
      </c>
      <c r="D112" s="9"/>
      <c r="E112" s="9"/>
      <c r="F112" s="3">
        <f t="shared" ref="F112:Q112" si="64">F108+F109+F110+F111</f>
        <v>500000</v>
      </c>
      <c r="G112" s="3">
        <f t="shared" si="64"/>
        <v>500000</v>
      </c>
      <c r="H112" s="3">
        <f t="shared" si="64"/>
        <v>500000</v>
      </c>
      <c r="I112" s="3">
        <f t="shared" si="64"/>
        <v>500000</v>
      </c>
      <c r="J112" s="3">
        <f t="shared" si="64"/>
        <v>500000</v>
      </c>
      <c r="K112" s="3">
        <f t="shared" si="64"/>
        <v>500000</v>
      </c>
      <c r="L112" s="3">
        <f t="shared" si="64"/>
        <v>500000</v>
      </c>
      <c r="M112" s="3">
        <f t="shared" si="64"/>
        <v>500000</v>
      </c>
      <c r="N112" s="3">
        <f t="shared" si="64"/>
        <v>500000</v>
      </c>
      <c r="O112" s="3">
        <f t="shared" si="64"/>
        <v>500000</v>
      </c>
      <c r="P112" s="3">
        <f t="shared" ref="P112" si="65">P108+P109+P110+P111</f>
        <v>500000</v>
      </c>
      <c r="Q112" s="3">
        <f t="shared" si="64"/>
        <v>500000</v>
      </c>
    </row>
    <row r="113" spans="1:17" x14ac:dyDescent="0.2">
      <c r="B113" s="10" t="s">
        <v>110</v>
      </c>
      <c r="C113" s="10"/>
      <c r="D113" s="10"/>
      <c r="E113" s="10"/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</row>
    <row r="114" spans="1:17" x14ac:dyDescent="0.2">
      <c r="B114" s="10" t="s">
        <v>111</v>
      </c>
      <c r="C114" s="10"/>
      <c r="D114" s="10"/>
      <c r="E114" s="10"/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</row>
    <row r="115" spans="1:17" x14ac:dyDescent="0.2">
      <c r="B115" s="11" t="s">
        <v>112</v>
      </c>
      <c r="C115" s="11"/>
      <c r="D115" s="11"/>
      <c r="E115" s="11"/>
      <c r="F115" s="3">
        <f t="shared" ref="F115:Q115" si="66">F112+F113+F114</f>
        <v>500000</v>
      </c>
      <c r="G115" s="3">
        <f t="shared" si="66"/>
        <v>500000</v>
      </c>
      <c r="H115" s="3">
        <f t="shared" si="66"/>
        <v>500000</v>
      </c>
      <c r="I115" s="3">
        <f t="shared" si="66"/>
        <v>500000</v>
      </c>
      <c r="J115" s="3">
        <f t="shared" si="66"/>
        <v>500000</v>
      </c>
      <c r="K115" s="3">
        <f t="shared" si="66"/>
        <v>500000</v>
      </c>
      <c r="L115" s="3">
        <f t="shared" si="66"/>
        <v>500000</v>
      </c>
      <c r="M115" s="3">
        <f t="shared" si="66"/>
        <v>500000</v>
      </c>
      <c r="N115" s="3">
        <f t="shared" si="66"/>
        <v>500000</v>
      </c>
      <c r="O115" s="3">
        <f t="shared" si="66"/>
        <v>500000</v>
      </c>
      <c r="P115" s="3">
        <f t="shared" ref="P115" si="67">P112+P113+P114</f>
        <v>500000</v>
      </c>
      <c r="Q115" s="3">
        <f t="shared" si="66"/>
        <v>500000</v>
      </c>
    </row>
    <row r="116" spans="1:17" x14ac:dyDescent="0.2">
      <c r="A116" s="12" t="s">
        <v>113</v>
      </c>
      <c r="B116" s="12"/>
      <c r="C116" s="12"/>
      <c r="D116" s="12"/>
      <c r="E116" s="12"/>
      <c r="F116" s="3">
        <v>5457398.5</v>
      </c>
      <c r="G116" s="3">
        <v>5884855.2000000002</v>
      </c>
      <c r="H116" s="3">
        <v>6295213.620000001</v>
      </c>
      <c r="I116" s="3">
        <v>6595145.790000001</v>
      </c>
      <c r="J116" s="3">
        <v>7006173.9900000012</v>
      </c>
      <c r="K116" s="3">
        <v>7437753.660000002</v>
      </c>
      <c r="L116" s="3">
        <v>7890912.3500000006</v>
      </c>
      <c r="M116" s="3">
        <v>7956996.6800000016</v>
      </c>
      <c r="N116" s="3">
        <v>8023081.0000000019</v>
      </c>
      <c r="O116" s="3">
        <v>8089165</v>
      </c>
      <c r="P116" s="3">
        <f>P115+P107</f>
        <v>8089165.5</v>
      </c>
      <c r="Q116" s="3">
        <f>Q115+Q107</f>
        <v>8089165.5</v>
      </c>
    </row>
    <row r="117" spans="1:17" x14ac:dyDescent="0.2">
      <c r="A117" s="4" t="s">
        <v>114</v>
      </c>
      <c r="B117" s="4"/>
      <c r="C117" s="4"/>
      <c r="D117" s="4"/>
      <c r="E117" s="4"/>
      <c r="F117" s="3">
        <f t="shared" ref="F117:Q117" si="68">F101+F116</f>
        <v>10983055.780000001</v>
      </c>
      <c r="G117" s="3">
        <f t="shared" si="68"/>
        <v>15050379.52</v>
      </c>
      <c r="H117" s="3">
        <f t="shared" si="68"/>
        <v>15164650.110000001</v>
      </c>
      <c r="I117" s="3">
        <f t="shared" si="68"/>
        <v>14019621.450000001</v>
      </c>
      <c r="J117" s="3">
        <f t="shared" si="68"/>
        <v>14534540.200000001</v>
      </c>
      <c r="K117" s="3">
        <f t="shared" si="68"/>
        <v>15079371.250000002</v>
      </c>
      <c r="L117" s="3">
        <f t="shared" si="68"/>
        <v>15655611.02</v>
      </c>
      <c r="M117" s="3">
        <f t="shared" si="68"/>
        <v>12604073.090000002</v>
      </c>
      <c r="N117" s="3">
        <f t="shared" si="68"/>
        <v>12586824.010000002</v>
      </c>
      <c r="O117" s="3">
        <f t="shared" si="68"/>
        <v>12569576</v>
      </c>
      <c r="P117" s="3">
        <f t="shared" ref="P117" si="69">P101+P116</f>
        <v>12597867.675799999</v>
      </c>
      <c r="Q117" s="3">
        <f t="shared" si="68"/>
        <v>12597867.675799999</v>
      </c>
    </row>
  </sheetData>
  <mergeCells count="3">
    <mergeCell ref="A1:Q1"/>
    <mergeCell ref="A2:Q2"/>
    <mergeCell ref="A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Skelton</dc:creator>
  <cp:lastModifiedBy>Tyler Stubbs</cp:lastModifiedBy>
  <dcterms:created xsi:type="dcterms:W3CDTF">2026-01-06T19:24:49Z</dcterms:created>
  <dcterms:modified xsi:type="dcterms:W3CDTF">2026-03-16T15:12:59Z</dcterms:modified>
</cp:coreProperties>
</file>